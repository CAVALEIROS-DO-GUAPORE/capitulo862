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gugas\OneDrive\Documents\DeMolay\Caneta\Modelos\"/>
    </mc:Choice>
  </mc:AlternateContent>
  <xr:revisionPtr revIDLastSave="0" documentId="8_{DC237C63-F02A-4C5E-854C-287DF7E44D2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auta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5" i="1" l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AK49" i="1"/>
  <c r="AJ49" i="1"/>
  <c r="G49" i="1"/>
  <c r="AK48" i="1"/>
  <c r="AJ48" i="1"/>
  <c r="G48" i="1"/>
  <c r="AK47" i="1"/>
  <c r="AJ47" i="1"/>
  <c r="E47" i="1" s="1"/>
  <c r="G47" i="1"/>
  <c r="AK46" i="1"/>
  <c r="AJ46" i="1"/>
  <c r="G46" i="1"/>
  <c r="AK45" i="1"/>
  <c r="AJ45" i="1"/>
  <c r="E45" i="1" s="1"/>
  <c r="G45" i="1"/>
  <c r="AK44" i="1"/>
  <c r="AJ44" i="1"/>
  <c r="G44" i="1"/>
  <c r="AK43" i="1"/>
  <c r="AJ43" i="1"/>
  <c r="G43" i="1"/>
  <c r="AK42" i="1"/>
  <c r="AJ42" i="1"/>
  <c r="G42" i="1"/>
  <c r="AK41" i="1"/>
  <c r="AJ41" i="1"/>
  <c r="G41" i="1"/>
  <c r="AK40" i="1"/>
  <c r="AJ40" i="1"/>
  <c r="G40" i="1"/>
  <c r="AK39" i="1"/>
  <c r="AJ39" i="1"/>
  <c r="E39" i="1" s="1"/>
  <c r="G39" i="1"/>
  <c r="AK38" i="1"/>
  <c r="AJ38" i="1"/>
  <c r="G38" i="1"/>
  <c r="AK37" i="1"/>
  <c r="AJ37" i="1"/>
  <c r="G37" i="1"/>
  <c r="AK36" i="1"/>
  <c r="AJ36" i="1"/>
  <c r="G36" i="1"/>
  <c r="AK35" i="1"/>
  <c r="AJ35" i="1"/>
  <c r="G35" i="1"/>
  <c r="AK34" i="1"/>
  <c r="AJ34" i="1"/>
  <c r="G34" i="1"/>
  <c r="AK33" i="1"/>
  <c r="AJ33" i="1"/>
  <c r="G33" i="1"/>
  <c r="AK32" i="1"/>
  <c r="AJ32" i="1"/>
  <c r="G32" i="1"/>
  <c r="AK31" i="1"/>
  <c r="AJ31" i="1"/>
  <c r="E31" i="1" s="1"/>
  <c r="G31" i="1"/>
  <c r="AK30" i="1"/>
  <c r="AJ30" i="1"/>
  <c r="G30" i="1"/>
  <c r="AK29" i="1"/>
  <c r="AJ29" i="1"/>
  <c r="AK28" i="1"/>
  <c r="AJ28" i="1"/>
  <c r="AK27" i="1"/>
  <c r="AJ27" i="1"/>
  <c r="AK26" i="1"/>
  <c r="AJ26" i="1"/>
  <c r="AK25" i="1"/>
  <c r="AJ25" i="1"/>
  <c r="AK24" i="1"/>
  <c r="AJ24" i="1"/>
  <c r="AK23" i="1"/>
  <c r="AJ23" i="1"/>
  <c r="E23" i="1" s="1"/>
  <c r="AK22" i="1"/>
  <c r="AJ22" i="1"/>
  <c r="AK21" i="1"/>
  <c r="AJ21" i="1"/>
  <c r="AK20" i="1"/>
  <c r="AJ20" i="1"/>
  <c r="E20" i="1" s="1"/>
  <c r="AK19" i="1"/>
  <c r="AJ19" i="1"/>
  <c r="E19" i="1" s="1"/>
  <c r="AK18" i="1"/>
  <c r="AJ18" i="1"/>
  <c r="AK17" i="1"/>
  <c r="AJ17" i="1"/>
  <c r="AK16" i="1"/>
  <c r="AJ16" i="1"/>
  <c r="AK15" i="1"/>
  <c r="AK14" i="1"/>
  <c r="AJ14" i="1"/>
  <c r="AK13" i="1"/>
  <c r="AJ13" i="1"/>
  <c r="AK12" i="1"/>
  <c r="AJ12" i="1"/>
  <c r="AK11" i="1"/>
  <c r="AJ11" i="1"/>
  <c r="AK10" i="1"/>
  <c r="AJ10" i="1"/>
  <c r="E14" i="1" l="1"/>
  <c r="E33" i="1"/>
  <c r="E43" i="1"/>
  <c r="E49" i="1"/>
  <c r="E30" i="1"/>
  <c r="U53" i="1"/>
  <c r="AG53" i="1"/>
  <c r="E22" i="1"/>
  <c r="R53" i="1"/>
  <c r="AD53" i="1"/>
  <c r="E36" i="1"/>
  <c r="E48" i="1"/>
  <c r="S53" i="1"/>
  <c r="AE53" i="1"/>
  <c r="X53" i="1"/>
  <c r="I53" i="1"/>
  <c r="E34" i="1"/>
  <c r="E38" i="1"/>
  <c r="E46" i="1"/>
  <c r="J53" i="1"/>
  <c r="AH53" i="1"/>
  <c r="V53" i="1"/>
  <c r="M53" i="1"/>
  <c r="Y53" i="1"/>
  <c r="E18" i="1"/>
  <c r="W53" i="1"/>
  <c r="AI53" i="1"/>
  <c r="E15" i="1"/>
  <c r="E27" i="1"/>
  <c r="P53" i="1"/>
  <c r="AB53" i="1"/>
  <c r="E35" i="1"/>
  <c r="E42" i="1"/>
  <c r="E44" i="1"/>
  <c r="E32" i="1"/>
  <c r="E37" i="1"/>
  <c r="E40" i="1"/>
  <c r="E41" i="1"/>
  <c r="E26" i="1"/>
  <c r="E21" i="1"/>
  <c r="K53" i="1"/>
  <c r="E13" i="1"/>
  <c r="L53" i="1"/>
  <c r="E12" i="1"/>
  <c r="E17" i="1"/>
  <c r="E28" i="1"/>
  <c r="H53" i="1"/>
  <c r="T53" i="1"/>
  <c r="AF53" i="1"/>
  <c r="E24" i="1"/>
  <c r="E29" i="1"/>
  <c r="N53" i="1"/>
  <c r="Z53" i="1"/>
  <c r="O53" i="1"/>
  <c r="AA53" i="1"/>
  <c r="E25" i="1"/>
  <c r="E10" i="1"/>
  <c r="E16" i="1"/>
  <c r="Q53" i="1"/>
  <c r="AC53" i="1"/>
  <c r="E11" i="1"/>
</calcChain>
</file>

<file path=xl/sharedStrings.xml><?xml version="1.0" encoding="utf-8"?>
<sst xmlns="http://schemas.openxmlformats.org/spreadsheetml/2006/main" count="88" uniqueCount="27">
  <si>
    <t>CONTROLE DE FREQUÊNCIA DOS MEMBROS ATIVOS E REGULARES</t>
  </si>
  <si>
    <t>NOME E NÚMERO DO CAPÍTULO</t>
  </si>
  <si>
    <t>%</t>
  </si>
  <si>
    <t>NOME</t>
  </si>
  <si>
    <t>xx/xx/xxxx</t>
  </si>
  <si>
    <t>Presenças</t>
  </si>
  <si>
    <t>Faltas</t>
  </si>
  <si>
    <t>DATA</t>
  </si>
  <si>
    <t>P</t>
  </si>
  <si>
    <t>XX/XX/XXXX</t>
  </si>
  <si>
    <t>FORMATOS ACEITOS PARA ENVIO DA ATIVIDADE: PDF, JPEG OU PNG.</t>
  </si>
  <si>
    <t>Justificativas</t>
  </si>
  <si>
    <t>% Frequencia Sessão</t>
  </si>
  <si>
    <t>F</t>
  </si>
  <si>
    <t>xxxxxxx</t>
  </si>
  <si>
    <t>J</t>
  </si>
  <si>
    <t>ID</t>
  </si>
  <si>
    <t xml:space="preserve">ASSUNTO </t>
  </si>
  <si>
    <r>
      <rPr>
        <b/>
        <sz val="11"/>
        <color rgb="FF000000"/>
        <rFont val="Arial"/>
        <family val="2"/>
      </rPr>
      <t>RITUALISTICA:</t>
    </r>
    <r>
      <rPr>
        <sz val="11"/>
        <color rgb="FF000000"/>
        <rFont val="Arial"/>
        <family val="2"/>
      </rPr>
      <t xml:space="preserve"> Iniciação Regional juntamente com os Capítulos A e B</t>
    </r>
  </si>
  <si>
    <r>
      <rPr>
        <b/>
        <sz val="11"/>
        <color rgb="FF000000"/>
        <rFont val="Arial"/>
        <family val="2"/>
      </rPr>
      <t>RITUALISTICA:</t>
    </r>
    <r>
      <rPr>
        <sz val="11"/>
        <color rgb="FF000000"/>
        <rFont val="Arial"/>
        <family val="2"/>
      </rPr>
      <t xml:space="preserve"> Palestra sobre os Templários e discussão sobre arrecadação de fundos </t>
    </r>
  </si>
  <si>
    <t>Luiz Guilherme Corlet Neto</t>
  </si>
  <si>
    <t>Francisco Liord da Silva Aragão</t>
  </si>
  <si>
    <t>Yudi Momonuki</t>
  </si>
  <si>
    <t>Gabriel Ribeiro Kowaleski</t>
  </si>
  <si>
    <t>Gustavo Souza Jeremias</t>
  </si>
  <si>
    <t xml:space="preserve"> PAUTAS - GESTÃO 2024/2</t>
  </si>
  <si>
    <r>
      <rPr>
        <b/>
        <sz val="11"/>
        <color rgb="FF000000"/>
        <rFont val="Arial"/>
        <family val="2"/>
      </rPr>
      <t>ADMINISTRATIVA:</t>
    </r>
    <r>
      <rPr>
        <sz val="11"/>
        <color rgb="FF000000"/>
        <rFont val="Arial"/>
        <family val="2"/>
      </rPr>
      <t xml:space="preserve"> Organização da arrecadação de fundos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</si>
</sst>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charset val="1"/>
    </font>
    <font>
      <sz val="7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4"/>
      <color rgb="FF000000"/>
      <name val="Arial"/>
      <charset val="1"/>
    </font>
    <font>
      <b/>
      <sz val="14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2"/>
      <color rgb="FFFF0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charset val="1"/>
    </font>
    <font>
      <sz val="11"/>
      <color rgb="FF000000"/>
      <name val="Calibri"/>
      <scheme val="minor"/>
    </font>
    <font>
      <sz val="10"/>
      <color rgb="FF000000"/>
      <name val="Arial"/>
    </font>
    <font>
      <b/>
      <sz val="10"/>
      <color rgb="FFFFFFFF"/>
      <name val="Arial"/>
    </font>
    <font>
      <sz val="11"/>
      <color rgb="FF000000"/>
      <name val="Arial"/>
    </font>
    <font>
      <b/>
      <sz val="11"/>
      <color rgb="FFFFFFFF"/>
      <name val="Arial"/>
    </font>
    <font>
      <sz val="9"/>
      <color rgb="FF000000"/>
      <name val="Arial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54061"/>
        <bgColor rgb="FF3F3F3F"/>
      </patternFill>
    </fill>
    <fill>
      <patternFill patternType="solid">
        <fgColor rgb="FF2F5496"/>
        <bgColor rgb="FF376092"/>
      </patternFill>
    </fill>
    <fill>
      <patternFill patternType="solid">
        <fgColor rgb="FF376092"/>
        <bgColor rgb="FF2F5496"/>
      </patternFill>
    </fill>
    <fill>
      <patternFill patternType="solid">
        <fgColor rgb="FF95B3D7"/>
        <bgColor rgb="FF9999FF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D8D8D8"/>
        <bgColor rgb="FFD8D8D8"/>
      </patternFill>
    </fill>
    <fill>
      <patternFill patternType="solid">
        <fgColor rgb="FF3F3F3F"/>
        <bgColor rgb="FF3F3F3F"/>
      </patternFill>
    </fill>
    <fill>
      <patternFill patternType="solid">
        <fgColor rgb="FF3C78D8"/>
        <bgColor indexed="64"/>
      </patternFill>
    </fill>
    <fill>
      <patternFill patternType="solid">
        <fgColor rgb="FF25406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54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vertical="center"/>
    </xf>
    <xf numFmtId="0" fontId="3" fillId="2" borderId="0" xfId="0" applyFont="1" applyFill="1"/>
    <xf numFmtId="0" fontId="5" fillId="2" borderId="0" xfId="0" applyFont="1" applyFill="1"/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14" fillId="8" borderId="5" xfId="0" applyNumberFormat="1" applyFont="1" applyFill="1" applyBorder="1" applyAlignment="1">
      <alignment horizontal="center" vertical="center"/>
    </xf>
    <xf numFmtId="0" fontId="5" fillId="0" borderId="0" xfId="0" applyFont="1"/>
    <xf numFmtId="9" fontId="12" fillId="8" borderId="7" xfId="0" applyNumberFormat="1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9" fontId="14" fillId="8" borderId="8" xfId="0" applyNumberFormat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wrapText="1"/>
    </xf>
    <xf numFmtId="0" fontId="1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9" fontId="12" fillId="8" borderId="14" xfId="0" applyNumberFormat="1" applyFont="1" applyFill="1" applyBorder="1" applyAlignment="1">
      <alignment horizontal="center" vertical="center"/>
    </xf>
    <xf numFmtId="0" fontId="0" fillId="11" borderId="0" xfId="0" applyFill="1"/>
    <xf numFmtId="0" fontId="12" fillId="0" borderId="8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16" fontId="13" fillId="7" borderId="6" xfId="0" applyNumberFormat="1" applyFont="1" applyFill="1" applyBorder="1" applyAlignment="1">
      <alignment horizontal="center" vertical="center" textRotation="90"/>
    </xf>
    <xf numFmtId="16" fontId="13" fillId="7" borderId="12" xfId="0" applyNumberFormat="1" applyFont="1" applyFill="1" applyBorder="1" applyAlignment="1">
      <alignment horizontal="center" vertical="center" textRotation="90"/>
    </xf>
    <xf numFmtId="0" fontId="11" fillId="9" borderId="4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 textRotation="90"/>
    </xf>
    <xf numFmtId="0" fontId="13" fillId="7" borderId="12" xfId="0" applyFont="1" applyFill="1" applyBorder="1" applyAlignment="1">
      <alignment horizontal="center" vertical="center" textRotation="90"/>
    </xf>
    <xf numFmtId="0" fontId="13" fillId="7" borderId="16" xfId="0" applyFont="1" applyFill="1" applyBorder="1" applyAlignment="1">
      <alignment horizontal="center" vertical="center" textRotation="90"/>
    </xf>
    <xf numFmtId="0" fontId="13" fillId="7" borderId="4" xfId="0" applyFont="1" applyFill="1" applyBorder="1" applyAlignment="1">
      <alignment horizontal="center" vertical="center" textRotation="90"/>
    </xf>
    <xf numFmtId="0" fontId="13" fillId="7" borderId="9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5" fillId="10" borderId="16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F5496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254061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54061"/>
      <color rgb="FF3C7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442080</xdr:colOff>
      <xdr:row>0</xdr:row>
      <xdr:rowOff>79920</xdr:rowOff>
    </xdr:from>
    <xdr:to>
      <xdr:col>2</xdr:col>
      <xdr:colOff>1081800</xdr:colOff>
      <xdr:row>6</xdr:row>
      <xdr:rowOff>246600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26200" y="79920"/>
          <a:ext cx="2372400" cy="1012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34</xdr:col>
      <xdr:colOff>579600</xdr:colOff>
      <xdr:row>0</xdr:row>
      <xdr:rowOff>165960</xdr:rowOff>
    </xdr:from>
    <xdr:to>
      <xdr:col>36</xdr:col>
      <xdr:colOff>761760</xdr:colOff>
      <xdr:row>6</xdr:row>
      <xdr:rowOff>258480</xdr:rowOff>
    </xdr:to>
    <xdr:pic>
      <xdr:nvPicPr>
        <xdr:cNvPr id="3" name="Imagem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5358840" y="165960"/>
          <a:ext cx="2220840" cy="9381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Windows%2010/Downloads/2343d4e858074c7ccac9e2c122645af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bros Ativos"/>
      <sheetName val="CALENDÁRIO"/>
      <sheetName val="Presença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96"/>
  <sheetViews>
    <sheetView tabSelected="1" zoomScale="60" zoomScaleNormal="60" workbookViewId="0">
      <selection activeCell="C16" sqref="C16"/>
    </sheetView>
  </sheetViews>
  <sheetFormatPr defaultColWidth="14.44140625" defaultRowHeight="14.4" x14ac:dyDescent="0.3"/>
  <cols>
    <col min="1" max="1" width="5.44140625" customWidth="1"/>
    <col min="2" max="2" width="24.5546875" customWidth="1"/>
    <col min="3" max="3" width="125.6640625" customWidth="1"/>
    <col min="4" max="4" width="14.6640625" customWidth="1"/>
    <col min="5" max="5" width="20.5546875" customWidth="1"/>
    <col min="6" max="6" width="26.33203125" style="52" customWidth="1"/>
    <col min="7" max="7" width="8.77734375" style="47" customWidth="1"/>
    <col min="8" max="26" width="8.6640625" customWidth="1"/>
    <col min="38" max="38" width="6.109375" customWidth="1"/>
  </cols>
  <sheetData>
    <row r="1" spans="1:38" ht="15" customHeight="1" x14ac:dyDescent="0.3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</row>
    <row r="2" spans="1:38" ht="15" customHeigh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spans="1:38" ht="14.4" customHeigh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</row>
    <row r="4" spans="1:38" ht="22.2" customHeight="1" thickBot="1" x14ac:dyDescent="0.3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</row>
    <row r="5" spans="1:38" ht="15" hidden="1" customHeight="1" x14ac:dyDescent="1.65">
      <c r="A5" s="1"/>
      <c r="B5" s="2"/>
      <c r="C5" s="2"/>
      <c r="D5" s="1"/>
      <c r="E5" s="3"/>
      <c r="F5" s="49"/>
      <c r="G5" s="4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4"/>
    </row>
    <row r="6" spans="1:38" ht="15" hidden="1" customHeight="1" x14ac:dyDescent="1.65">
      <c r="A6" s="1"/>
      <c r="B6" s="5"/>
      <c r="C6" s="5"/>
      <c r="D6" s="1"/>
      <c r="E6" s="3"/>
      <c r="F6" s="49"/>
      <c r="G6" s="4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4"/>
    </row>
    <row r="7" spans="1:38" ht="25.95" customHeight="1" thickBot="1" x14ac:dyDescent="0.35">
      <c r="A7" s="6"/>
      <c r="B7" s="30" t="s">
        <v>25</v>
      </c>
      <c r="C7" s="30"/>
      <c r="D7" s="1"/>
      <c r="E7" s="31" t="s">
        <v>0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7"/>
    </row>
    <row r="8" spans="1:38" ht="31.2" customHeight="1" thickBot="1" x14ac:dyDescent="0.35">
      <c r="A8" s="1"/>
      <c r="B8" s="32" t="s">
        <v>1</v>
      </c>
      <c r="C8" s="32"/>
      <c r="D8" s="1"/>
      <c r="E8" s="39" t="s">
        <v>2</v>
      </c>
      <c r="F8" s="50" t="s">
        <v>3</v>
      </c>
      <c r="G8" s="41" t="s">
        <v>16</v>
      </c>
      <c r="H8" s="34" t="s">
        <v>14</v>
      </c>
      <c r="I8" s="34" t="s">
        <v>14</v>
      </c>
      <c r="J8" s="34" t="s">
        <v>14</v>
      </c>
      <c r="K8" s="34" t="s">
        <v>14</v>
      </c>
      <c r="L8" s="34" t="s">
        <v>14</v>
      </c>
      <c r="M8" s="34" t="s">
        <v>14</v>
      </c>
      <c r="N8" s="34" t="s">
        <v>14</v>
      </c>
      <c r="O8" s="34" t="s">
        <v>14</v>
      </c>
      <c r="P8" s="34" t="s">
        <v>14</v>
      </c>
      <c r="Q8" s="34" t="s">
        <v>14</v>
      </c>
      <c r="R8" s="34" t="s">
        <v>14</v>
      </c>
      <c r="S8" s="34" t="s">
        <v>14</v>
      </c>
      <c r="T8" s="34" t="s">
        <v>14</v>
      </c>
      <c r="U8" s="34" t="s">
        <v>4</v>
      </c>
      <c r="V8" s="34" t="s">
        <v>4</v>
      </c>
      <c r="W8" s="34" t="s">
        <v>4</v>
      </c>
      <c r="X8" s="34" t="s">
        <v>4</v>
      </c>
      <c r="Y8" s="34" t="s">
        <v>4</v>
      </c>
      <c r="Z8" s="34" t="s">
        <v>4</v>
      </c>
      <c r="AA8" s="34" t="s">
        <v>4</v>
      </c>
      <c r="AB8" s="34" t="s">
        <v>4</v>
      </c>
      <c r="AC8" s="34" t="s">
        <v>4</v>
      </c>
      <c r="AD8" s="34" t="s">
        <v>4</v>
      </c>
      <c r="AE8" s="34" t="s">
        <v>4</v>
      </c>
      <c r="AF8" s="34" t="s">
        <v>4</v>
      </c>
      <c r="AG8" s="34" t="s">
        <v>4</v>
      </c>
      <c r="AH8" s="34" t="s">
        <v>4</v>
      </c>
      <c r="AI8" s="34" t="s">
        <v>4</v>
      </c>
      <c r="AJ8" s="37" t="s">
        <v>5</v>
      </c>
      <c r="AK8" s="37" t="s">
        <v>6</v>
      </c>
    </row>
    <row r="9" spans="1:38" ht="22.2" customHeight="1" thickBot="1" x14ac:dyDescent="0.35">
      <c r="A9" s="1"/>
      <c r="B9" s="8" t="s">
        <v>7</v>
      </c>
      <c r="C9" s="9" t="s">
        <v>17</v>
      </c>
      <c r="D9" s="1"/>
      <c r="E9" s="40"/>
      <c r="F9" s="51"/>
      <c r="G9" s="42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8"/>
      <c r="AK9" s="38"/>
    </row>
    <row r="10" spans="1:38" ht="27" customHeight="1" x14ac:dyDescent="0.3">
      <c r="A10" s="1"/>
      <c r="B10" s="53">
        <v>45521</v>
      </c>
      <c r="C10" s="23" t="s">
        <v>18</v>
      </c>
      <c r="D10" s="1"/>
      <c r="E10" s="25">
        <f t="shared" ref="E10:E49" si="0">AJ10/(AJ10+AK10)</f>
        <v>0.83333333333333337</v>
      </c>
      <c r="F10" s="44" t="s">
        <v>20</v>
      </c>
      <c r="G10" s="17">
        <v>99595</v>
      </c>
      <c r="H10" s="10" t="s">
        <v>8</v>
      </c>
      <c r="I10" s="10" t="s">
        <v>8</v>
      </c>
      <c r="J10" s="10" t="s">
        <v>8</v>
      </c>
      <c r="K10" s="10" t="s">
        <v>13</v>
      </c>
      <c r="L10" s="16" t="s">
        <v>8</v>
      </c>
      <c r="M10" s="16" t="s">
        <v>8</v>
      </c>
      <c r="N10" s="16" t="s">
        <v>15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1">
        <f t="shared" ref="AJ10:AJ49" si="1">COUNTIF(H10:AI10,"P")</f>
        <v>5</v>
      </c>
      <c r="AK10" s="11">
        <f t="shared" ref="AK10:AK49" si="2">COUNTIF(H10:AI10,"F")</f>
        <v>1</v>
      </c>
    </row>
    <row r="11" spans="1:38" ht="27" customHeight="1" x14ac:dyDescent="0.3">
      <c r="A11" s="1"/>
      <c r="B11" s="53">
        <v>45528</v>
      </c>
      <c r="C11" s="23" t="s">
        <v>19</v>
      </c>
      <c r="D11" s="1"/>
      <c r="E11" s="15">
        <f t="shared" si="0"/>
        <v>0.83333333333333337</v>
      </c>
      <c r="F11" s="44" t="s">
        <v>21</v>
      </c>
      <c r="G11" s="20">
        <v>73755</v>
      </c>
      <c r="H11" s="10" t="s">
        <v>15</v>
      </c>
      <c r="I11" s="10" t="s">
        <v>13</v>
      </c>
      <c r="J11" s="10" t="s">
        <v>8</v>
      </c>
      <c r="K11" s="10" t="s">
        <v>8</v>
      </c>
      <c r="L11" s="10" t="s">
        <v>8</v>
      </c>
      <c r="M11" s="16" t="s">
        <v>8</v>
      </c>
      <c r="N11" s="16" t="s">
        <v>8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1">
        <f t="shared" si="1"/>
        <v>5</v>
      </c>
      <c r="AK11" s="11">
        <f t="shared" si="2"/>
        <v>1</v>
      </c>
    </row>
    <row r="12" spans="1:38" ht="27" customHeight="1" x14ac:dyDescent="0.3">
      <c r="A12" s="1"/>
      <c r="B12" s="53">
        <v>45535</v>
      </c>
      <c r="C12" s="23" t="s">
        <v>26</v>
      </c>
      <c r="D12" s="1"/>
      <c r="E12" s="15">
        <f t="shared" si="0"/>
        <v>0.83333333333333337</v>
      </c>
      <c r="F12" s="44" t="s">
        <v>22</v>
      </c>
      <c r="G12" s="48">
        <v>80702</v>
      </c>
      <c r="H12" s="27" t="s">
        <v>13</v>
      </c>
      <c r="I12" s="16" t="s">
        <v>8</v>
      </c>
      <c r="J12" s="10" t="s">
        <v>8</v>
      </c>
      <c r="K12" s="16" t="s">
        <v>8</v>
      </c>
      <c r="L12" s="16" t="s">
        <v>8</v>
      </c>
      <c r="M12" s="16" t="s">
        <v>8</v>
      </c>
      <c r="N12" s="16" t="s">
        <v>15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1">
        <f>COUNTIF(H12:AI12,"P")</f>
        <v>5</v>
      </c>
      <c r="AK12" s="11">
        <f>COUNTIF(H12:AI12,"F")</f>
        <v>1</v>
      </c>
    </row>
    <row r="13" spans="1:38" ht="27" customHeight="1" x14ac:dyDescent="0.3">
      <c r="A13" s="1"/>
      <c r="B13" s="24" t="s">
        <v>9</v>
      </c>
      <c r="C13" s="21"/>
      <c r="D13" s="1"/>
      <c r="E13" s="15">
        <f t="shared" si="0"/>
        <v>0.7142857142857143</v>
      </c>
      <c r="F13" s="44" t="s">
        <v>23</v>
      </c>
      <c r="G13" s="48">
        <v>91946</v>
      </c>
      <c r="H13" s="27" t="s">
        <v>8</v>
      </c>
      <c r="I13" s="16" t="s">
        <v>13</v>
      </c>
      <c r="J13" s="10" t="s">
        <v>13</v>
      </c>
      <c r="K13" s="16" t="s">
        <v>8</v>
      </c>
      <c r="L13" s="16" t="s">
        <v>8</v>
      </c>
      <c r="M13" s="16" t="s">
        <v>8</v>
      </c>
      <c r="N13" s="16" t="s">
        <v>8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1">
        <f t="shared" si="1"/>
        <v>5</v>
      </c>
      <c r="AK13" s="11">
        <f t="shared" si="2"/>
        <v>2</v>
      </c>
    </row>
    <row r="14" spans="1:38" ht="27" customHeight="1" x14ac:dyDescent="0.3">
      <c r="A14" s="1"/>
      <c r="B14" s="24" t="s">
        <v>9</v>
      </c>
      <c r="C14" s="23"/>
      <c r="D14" s="1"/>
      <c r="E14" s="15">
        <f t="shared" si="0"/>
        <v>0.8</v>
      </c>
      <c r="F14" s="44" t="s">
        <v>24</v>
      </c>
      <c r="G14" s="28">
        <v>60997</v>
      </c>
      <c r="H14" s="10" t="s">
        <v>15</v>
      </c>
      <c r="I14" s="10" t="s">
        <v>8</v>
      </c>
      <c r="J14" s="10" t="s">
        <v>15</v>
      </c>
      <c r="K14" s="10" t="s">
        <v>8</v>
      </c>
      <c r="L14" s="10" t="s">
        <v>8</v>
      </c>
      <c r="M14" s="10" t="s">
        <v>13</v>
      </c>
      <c r="N14" s="10" t="s">
        <v>8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1">
        <f t="shared" si="1"/>
        <v>4</v>
      </c>
      <c r="AK14" s="11">
        <f t="shared" si="2"/>
        <v>1</v>
      </c>
    </row>
    <row r="15" spans="1:38" ht="27" customHeight="1" x14ac:dyDescent="0.3">
      <c r="A15" s="1"/>
      <c r="B15" s="22"/>
      <c r="C15" s="21"/>
      <c r="D15" s="1"/>
      <c r="E15" s="15" t="e">
        <f t="shared" si="0"/>
        <v>#DIV/0!</v>
      </c>
      <c r="F15" s="44"/>
      <c r="G15" s="17">
        <v>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1">
        <f>COUNTIF(H15:AI15,"P")</f>
        <v>0</v>
      </c>
      <c r="AK15" s="11">
        <f>COUNTIF(H15:AI15,"F")</f>
        <v>0</v>
      </c>
    </row>
    <row r="16" spans="1:38" ht="27" customHeight="1" x14ac:dyDescent="0.3">
      <c r="A16" s="1"/>
      <c r="B16" s="22"/>
      <c r="C16" s="21"/>
      <c r="D16" s="1"/>
      <c r="E16" s="15" t="e">
        <f t="shared" si="0"/>
        <v>#DIV/0!</v>
      </c>
      <c r="F16" s="44"/>
      <c r="G16" s="17">
        <v>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1">
        <f t="shared" si="1"/>
        <v>0</v>
      </c>
      <c r="AK16" s="11">
        <f t="shared" si="2"/>
        <v>0</v>
      </c>
    </row>
    <row r="17" spans="1:37" ht="27" customHeight="1" x14ac:dyDescent="0.3">
      <c r="A17" s="1"/>
      <c r="B17" s="22"/>
      <c r="C17" s="21"/>
      <c r="D17" s="1"/>
      <c r="E17" s="15" t="e">
        <f t="shared" si="0"/>
        <v>#DIV/0!</v>
      </c>
      <c r="F17" s="45"/>
      <c r="G17" s="17">
        <v>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1">
        <f t="shared" si="1"/>
        <v>0</v>
      </c>
      <c r="AK17" s="11">
        <f t="shared" si="2"/>
        <v>0</v>
      </c>
    </row>
    <row r="18" spans="1:37" ht="27" customHeight="1" x14ac:dyDescent="0.3">
      <c r="A18" s="1"/>
      <c r="B18" s="22"/>
      <c r="C18" s="21"/>
      <c r="D18" s="1"/>
      <c r="E18" s="15" t="e">
        <f t="shared" si="0"/>
        <v>#DIV/0!</v>
      </c>
      <c r="F18" s="45"/>
      <c r="G18" s="17">
        <v>0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1">
        <f t="shared" si="1"/>
        <v>0</v>
      </c>
      <c r="AK18" s="11">
        <f t="shared" si="2"/>
        <v>0</v>
      </c>
    </row>
    <row r="19" spans="1:37" ht="27" customHeight="1" x14ac:dyDescent="0.3">
      <c r="A19" s="1"/>
      <c r="B19" s="22"/>
      <c r="C19" s="21"/>
      <c r="D19" s="1"/>
      <c r="E19" s="15" t="e">
        <f t="shared" si="0"/>
        <v>#DIV/0!</v>
      </c>
      <c r="F19" s="45"/>
      <c r="G19" s="17">
        <v>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1">
        <f t="shared" si="1"/>
        <v>0</v>
      </c>
      <c r="AK19" s="11">
        <f t="shared" si="2"/>
        <v>0</v>
      </c>
    </row>
    <row r="20" spans="1:37" ht="27" customHeight="1" x14ac:dyDescent="0.3">
      <c r="A20" s="1"/>
      <c r="B20" s="22"/>
      <c r="C20" s="21"/>
      <c r="D20" s="1"/>
      <c r="E20" s="15" t="e">
        <f t="shared" si="0"/>
        <v>#DIV/0!</v>
      </c>
      <c r="F20" s="45"/>
      <c r="G20" s="17">
        <v>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1">
        <f t="shared" si="1"/>
        <v>0</v>
      </c>
      <c r="AK20" s="11">
        <f t="shared" si="2"/>
        <v>0</v>
      </c>
    </row>
    <row r="21" spans="1:37" ht="27" customHeight="1" x14ac:dyDescent="0.3">
      <c r="A21" s="1"/>
      <c r="B21" s="22"/>
      <c r="C21" s="21"/>
      <c r="D21" s="1"/>
      <c r="E21" s="15" t="e">
        <f t="shared" si="0"/>
        <v>#DIV/0!</v>
      </c>
      <c r="F21" s="45"/>
      <c r="G21" s="17">
        <v>0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1">
        <f t="shared" si="1"/>
        <v>0</v>
      </c>
      <c r="AK21" s="11">
        <f t="shared" si="2"/>
        <v>0</v>
      </c>
    </row>
    <row r="22" spans="1:37" ht="27" customHeight="1" x14ac:dyDescent="0.3">
      <c r="A22" s="1"/>
      <c r="B22" s="22"/>
      <c r="C22" s="21"/>
      <c r="D22" s="1"/>
      <c r="E22" s="15" t="e">
        <f t="shared" si="0"/>
        <v>#DIV/0!</v>
      </c>
      <c r="F22" s="45"/>
      <c r="G22" s="17">
        <v>0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1">
        <f t="shared" si="1"/>
        <v>0</v>
      </c>
      <c r="AK22" s="11">
        <f t="shared" si="2"/>
        <v>0</v>
      </c>
    </row>
    <row r="23" spans="1:37" ht="27" customHeight="1" x14ac:dyDescent="0.3">
      <c r="A23" s="1"/>
      <c r="B23" s="22"/>
      <c r="C23" s="21"/>
      <c r="D23" s="1"/>
      <c r="E23" s="15" t="e">
        <f t="shared" si="0"/>
        <v>#DIV/0!</v>
      </c>
      <c r="F23" s="45"/>
      <c r="G23" s="17">
        <v>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1">
        <f t="shared" si="1"/>
        <v>0</v>
      </c>
      <c r="AK23" s="11">
        <f t="shared" si="2"/>
        <v>0</v>
      </c>
    </row>
    <row r="24" spans="1:37" ht="27" customHeight="1" x14ac:dyDescent="0.3">
      <c r="A24" s="1"/>
      <c r="B24" s="22"/>
      <c r="C24" s="21"/>
      <c r="D24" s="1"/>
      <c r="E24" s="15" t="e">
        <f t="shared" si="0"/>
        <v>#DIV/0!</v>
      </c>
      <c r="F24" s="45"/>
      <c r="G24" s="17">
        <v>0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1">
        <f t="shared" si="1"/>
        <v>0</v>
      </c>
      <c r="AK24" s="11">
        <f t="shared" si="2"/>
        <v>0</v>
      </c>
    </row>
    <row r="25" spans="1:37" ht="27" customHeight="1" x14ac:dyDescent="0.3">
      <c r="A25" s="1"/>
      <c r="B25" s="22"/>
      <c r="C25" s="21"/>
      <c r="D25" s="1"/>
      <c r="E25" s="15" t="e">
        <f t="shared" si="0"/>
        <v>#DIV/0!</v>
      </c>
      <c r="F25" s="45"/>
      <c r="G25" s="17">
        <v>0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1">
        <f t="shared" si="1"/>
        <v>0</v>
      </c>
      <c r="AK25" s="11">
        <f t="shared" si="2"/>
        <v>0</v>
      </c>
    </row>
    <row r="26" spans="1:37" ht="27" customHeight="1" x14ac:dyDescent="0.3">
      <c r="A26" s="1"/>
      <c r="B26" s="22"/>
      <c r="C26" s="21"/>
      <c r="D26" s="1"/>
      <c r="E26" s="15" t="e">
        <f t="shared" si="0"/>
        <v>#DIV/0!</v>
      </c>
      <c r="F26" s="45"/>
      <c r="G26" s="17">
        <v>0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1">
        <f t="shared" si="1"/>
        <v>0</v>
      </c>
      <c r="AK26" s="11">
        <f t="shared" si="2"/>
        <v>0</v>
      </c>
    </row>
    <row r="27" spans="1:37" ht="27" customHeight="1" x14ac:dyDescent="0.3">
      <c r="A27" s="1"/>
      <c r="B27" s="22"/>
      <c r="C27" s="21"/>
      <c r="D27" s="1"/>
      <c r="E27" s="15" t="e">
        <f t="shared" si="0"/>
        <v>#DIV/0!</v>
      </c>
      <c r="F27" s="45"/>
      <c r="G27" s="17">
        <v>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1">
        <f t="shared" si="1"/>
        <v>0</v>
      </c>
      <c r="AK27" s="11">
        <f t="shared" si="2"/>
        <v>0</v>
      </c>
    </row>
    <row r="28" spans="1:37" ht="27" customHeight="1" x14ac:dyDescent="0.3">
      <c r="A28" s="1"/>
      <c r="B28" s="22"/>
      <c r="C28" s="21"/>
      <c r="D28" s="1"/>
      <c r="E28" s="15" t="e">
        <f t="shared" si="0"/>
        <v>#DIV/0!</v>
      </c>
      <c r="F28" s="45"/>
      <c r="G28" s="17">
        <v>0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1">
        <f t="shared" si="1"/>
        <v>0</v>
      </c>
      <c r="AK28" s="11">
        <f t="shared" si="2"/>
        <v>0</v>
      </c>
    </row>
    <row r="29" spans="1:37" ht="27" customHeight="1" x14ac:dyDescent="0.3">
      <c r="A29" s="1"/>
      <c r="B29" s="22"/>
      <c r="C29" s="21"/>
      <c r="D29" s="1"/>
      <c r="E29" s="15" t="e">
        <f t="shared" si="0"/>
        <v>#DIV/0!</v>
      </c>
      <c r="F29" s="45"/>
      <c r="G29" s="17">
        <v>0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1">
        <f t="shared" si="1"/>
        <v>0</v>
      </c>
      <c r="AK29" s="11">
        <f t="shared" si="2"/>
        <v>0</v>
      </c>
    </row>
    <row r="30" spans="1:37" ht="27" customHeight="1" x14ac:dyDescent="0.3">
      <c r="A30" s="1"/>
      <c r="B30" s="22"/>
      <c r="C30" s="21"/>
      <c r="D30" s="1"/>
      <c r="E30" s="15" t="e">
        <f t="shared" si="0"/>
        <v>#DIV/0!</v>
      </c>
      <c r="F30" s="45"/>
      <c r="G30" s="17">
        <f>'[1]Membros Ativos'!F32</f>
        <v>0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1">
        <f t="shared" si="1"/>
        <v>0</v>
      </c>
      <c r="AK30" s="11">
        <f t="shared" si="2"/>
        <v>0</v>
      </c>
    </row>
    <row r="31" spans="1:37" ht="27" customHeight="1" x14ac:dyDescent="0.3">
      <c r="A31" s="1"/>
      <c r="B31" s="22"/>
      <c r="C31" s="21"/>
      <c r="D31" s="1"/>
      <c r="E31" s="15" t="e">
        <f t="shared" si="0"/>
        <v>#DIV/0!</v>
      </c>
      <c r="F31" s="45"/>
      <c r="G31" s="17">
        <f>'[1]Membros Ativos'!F33</f>
        <v>0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1">
        <f t="shared" si="1"/>
        <v>0</v>
      </c>
      <c r="AK31" s="11">
        <f t="shared" si="2"/>
        <v>0</v>
      </c>
    </row>
    <row r="32" spans="1:37" ht="27" customHeight="1" x14ac:dyDescent="0.3">
      <c r="A32" s="1"/>
      <c r="B32" s="22"/>
      <c r="C32" s="21"/>
      <c r="D32" s="1"/>
      <c r="E32" s="15" t="e">
        <f t="shared" si="0"/>
        <v>#DIV/0!</v>
      </c>
      <c r="F32" s="45"/>
      <c r="G32" s="17">
        <f>'[1]Membros Ativos'!F34</f>
        <v>0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1">
        <f t="shared" si="1"/>
        <v>0</v>
      </c>
      <c r="AK32" s="11">
        <f t="shared" si="2"/>
        <v>0</v>
      </c>
    </row>
    <row r="33" spans="1:37" ht="27" customHeight="1" x14ac:dyDescent="0.3">
      <c r="A33" s="1"/>
      <c r="B33" s="22"/>
      <c r="C33" s="21"/>
      <c r="D33" s="1"/>
      <c r="E33" s="15" t="e">
        <f t="shared" si="0"/>
        <v>#DIV/0!</v>
      </c>
      <c r="F33" s="45"/>
      <c r="G33" s="17">
        <f>'[1]Membros Ativos'!F35</f>
        <v>0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1">
        <f t="shared" si="1"/>
        <v>0</v>
      </c>
      <c r="AK33" s="11">
        <f t="shared" si="2"/>
        <v>0</v>
      </c>
    </row>
    <row r="34" spans="1:37" ht="27" customHeight="1" x14ac:dyDescent="0.3">
      <c r="A34" s="1"/>
      <c r="B34" s="22"/>
      <c r="C34" s="21"/>
      <c r="D34" s="1"/>
      <c r="E34" s="15" t="e">
        <f t="shared" si="0"/>
        <v>#DIV/0!</v>
      </c>
      <c r="F34" s="45"/>
      <c r="G34" s="17">
        <f>'[1]Membros Ativos'!F36</f>
        <v>0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1">
        <f t="shared" si="1"/>
        <v>0</v>
      </c>
      <c r="AK34" s="11">
        <f t="shared" si="2"/>
        <v>0</v>
      </c>
    </row>
    <row r="35" spans="1:37" ht="27" customHeight="1" x14ac:dyDescent="0.3">
      <c r="A35" s="1"/>
      <c r="B35" s="22"/>
      <c r="C35" s="21"/>
      <c r="D35" s="1"/>
      <c r="E35" s="15" t="e">
        <f t="shared" si="0"/>
        <v>#DIV/0!</v>
      </c>
      <c r="F35" s="45"/>
      <c r="G35" s="17">
        <f>'[1]Membros Ativos'!F37</f>
        <v>0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1">
        <f t="shared" si="1"/>
        <v>0</v>
      </c>
      <c r="AK35" s="11">
        <f t="shared" si="2"/>
        <v>0</v>
      </c>
    </row>
    <row r="36" spans="1:37" ht="27" customHeight="1" x14ac:dyDescent="0.3">
      <c r="A36" s="1"/>
      <c r="B36" s="22"/>
      <c r="C36" s="21"/>
      <c r="D36" s="1"/>
      <c r="E36" s="15" t="e">
        <f t="shared" si="0"/>
        <v>#DIV/0!</v>
      </c>
      <c r="F36" s="45"/>
      <c r="G36" s="17">
        <f>'[1]Membros Ativos'!F38</f>
        <v>0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1">
        <f t="shared" si="1"/>
        <v>0</v>
      </c>
      <c r="AK36" s="11">
        <f t="shared" si="2"/>
        <v>0</v>
      </c>
    </row>
    <row r="37" spans="1:37" ht="27" customHeight="1" x14ac:dyDescent="0.3">
      <c r="A37" s="1"/>
      <c r="B37" s="22"/>
      <c r="C37" s="21"/>
      <c r="D37" s="1"/>
      <c r="E37" s="15" t="e">
        <f t="shared" si="0"/>
        <v>#DIV/0!</v>
      </c>
      <c r="F37" s="45"/>
      <c r="G37" s="17">
        <f>'[1]Membros Ativos'!F39</f>
        <v>0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1">
        <f t="shared" si="1"/>
        <v>0</v>
      </c>
      <c r="AK37" s="11">
        <f t="shared" si="2"/>
        <v>0</v>
      </c>
    </row>
    <row r="38" spans="1:37" ht="27" customHeight="1" x14ac:dyDescent="0.3">
      <c r="A38" s="1"/>
      <c r="B38" s="22"/>
      <c r="C38" s="21"/>
      <c r="D38" s="1"/>
      <c r="E38" s="15" t="e">
        <f t="shared" si="0"/>
        <v>#DIV/0!</v>
      </c>
      <c r="F38" s="45"/>
      <c r="G38" s="17">
        <f>'[1]Membros Ativos'!F40</f>
        <v>0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1">
        <f t="shared" si="1"/>
        <v>0</v>
      </c>
      <c r="AK38" s="11">
        <f t="shared" si="2"/>
        <v>0</v>
      </c>
    </row>
    <row r="39" spans="1:37" ht="27" customHeight="1" x14ac:dyDescent="0.3">
      <c r="A39" s="1"/>
      <c r="B39" s="22"/>
      <c r="C39" s="21"/>
      <c r="D39" s="1"/>
      <c r="E39" s="15" t="e">
        <f t="shared" si="0"/>
        <v>#DIV/0!</v>
      </c>
      <c r="F39" s="45"/>
      <c r="G39" s="17">
        <f>'[1]Membros Ativos'!F41</f>
        <v>0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1">
        <f t="shared" si="1"/>
        <v>0</v>
      </c>
      <c r="AK39" s="11">
        <f t="shared" si="2"/>
        <v>0</v>
      </c>
    </row>
    <row r="40" spans="1:37" ht="27" customHeight="1" x14ac:dyDescent="0.3">
      <c r="A40" s="1"/>
      <c r="D40" s="1"/>
      <c r="E40" s="15" t="e">
        <f t="shared" si="0"/>
        <v>#DIV/0!</v>
      </c>
      <c r="F40" s="45"/>
      <c r="G40" s="17">
        <f>'[1]Membros Ativos'!F42</f>
        <v>0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1">
        <f t="shared" si="1"/>
        <v>0</v>
      </c>
      <c r="AK40" s="11">
        <f t="shared" si="2"/>
        <v>0</v>
      </c>
    </row>
    <row r="41" spans="1:37" ht="27" customHeight="1" x14ac:dyDescent="0.3">
      <c r="A41" s="1"/>
      <c r="B41" s="33" t="s">
        <v>10</v>
      </c>
      <c r="C41" s="33"/>
      <c r="D41" s="1"/>
      <c r="E41" s="15" t="e">
        <f t="shared" si="0"/>
        <v>#DIV/0!</v>
      </c>
      <c r="F41" s="45"/>
      <c r="G41" s="17">
        <f>'[1]Membros Ativos'!F43</f>
        <v>0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1">
        <f t="shared" si="1"/>
        <v>0</v>
      </c>
      <c r="AK41" s="11">
        <f t="shared" si="2"/>
        <v>0</v>
      </c>
    </row>
    <row r="42" spans="1:37" ht="27" customHeight="1" x14ac:dyDescent="0.3">
      <c r="A42" s="26"/>
      <c r="B42" s="26"/>
      <c r="C42" s="26"/>
      <c r="D42" s="1"/>
      <c r="E42" s="15" t="e">
        <f t="shared" si="0"/>
        <v>#DIV/0!</v>
      </c>
      <c r="F42" s="45"/>
      <c r="G42" s="17">
        <f>'[1]Membros Ativos'!F44</f>
        <v>0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1">
        <f t="shared" si="1"/>
        <v>0</v>
      </c>
      <c r="AK42" s="11">
        <f t="shared" si="2"/>
        <v>0</v>
      </c>
    </row>
    <row r="43" spans="1:37" ht="27" customHeight="1" x14ac:dyDescent="0.3">
      <c r="D43" s="1"/>
      <c r="E43" s="15" t="e">
        <f t="shared" si="0"/>
        <v>#DIV/0!</v>
      </c>
      <c r="F43" s="45"/>
      <c r="G43" s="17">
        <f>'[1]Membros Ativos'!F45</f>
        <v>0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1">
        <f t="shared" si="1"/>
        <v>0</v>
      </c>
      <c r="AK43" s="11">
        <f t="shared" si="2"/>
        <v>0</v>
      </c>
    </row>
    <row r="44" spans="1:37" ht="27" customHeight="1" x14ac:dyDescent="0.3">
      <c r="D44" s="1"/>
      <c r="E44" s="15" t="e">
        <f t="shared" si="0"/>
        <v>#DIV/0!</v>
      </c>
      <c r="F44" s="45"/>
      <c r="G44" s="17">
        <f>'[1]Membros Ativos'!F46</f>
        <v>0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1">
        <f t="shared" si="1"/>
        <v>0</v>
      </c>
      <c r="AK44" s="11">
        <f t="shared" si="2"/>
        <v>0</v>
      </c>
    </row>
    <row r="45" spans="1:37" ht="27" customHeight="1" x14ac:dyDescent="0.3">
      <c r="D45" s="1"/>
      <c r="E45" s="15" t="e">
        <f t="shared" si="0"/>
        <v>#DIV/0!</v>
      </c>
      <c r="F45" s="45"/>
      <c r="G45" s="17">
        <f>'[1]Membros Ativos'!F47</f>
        <v>0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1">
        <f t="shared" si="1"/>
        <v>0</v>
      </c>
      <c r="AK45" s="11">
        <f t="shared" si="2"/>
        <v>0</v>
      </c>
    </row>
    <row r="46" spans="1:37" ht="27" customHeight="1" x14ac:dyDescent="0.3">
      <c r="D46" s="1"/>
      <c r="E46" s="15" t="e">
        <f t="shared" si="0"/>
        <v>#DIV/0!</v>
      </c>
      <c r="F46" s="45"/>
      <c r="G46" s="17">
        <f>'[1]Membros Ativos'!F48</f>
        <v>0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1">
        <f t="shared" si="1"/>
        <v>0</v>
      </c>
      <c r="AK46" s="11">
        <f t="shared" si="2"/>
        <v>0</v>
      </c>
    </row>
    <row r="47" spans="1:37" ht="27" customHeight="1" x14ac:dyDescent="0.3">
      <c r="D47" s="1"/>
      <c r="E47" s="15" t="e">
        <f t="shared" si="0"/>
        <v>#DIV/0!</v>
      </c>
      <c r="F47" s="45"/>
      <c r="G47" s="17">
        <f>'[1]Membros Ativos'!F49</f>
        <v>0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1">
        <f t="shared" si="1"/>
        <v>0</v>
      </c>
      <c r="AK47" s="11">
        <f t="shared" si="2"/>
        <v>0</v>
      </c>
    </row>
    <row r="48" spans="1:37" ht="27" customHeight="1" x14ac:dyDescent="0.3">
      <c r="D48" s="1"/>
      <c r="E48" s="15" t="e">
        <f t="shared" si="0"/>
        <v>#DIV/0!</v>
      </c>
      <c r="F48" s="45"/>
      <c r="G48" s="17">
        <f>'[1]Membros Ativos'!F50</f>
        <v>0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1">
        <f t="shared" si="1"/>
        <v>0</v>
      </c>
      <c r="AK48" s="11">
        <f t="shared" si="2"/>
        <v>0</v>
      </c>
    </row>
    <row r="49" spans="4:37" ht="27" customHeight="1" x14ac:dyDescent="0.3">
      <c r="D49" s="1"/>
      <c r="E49" s="15" t="e">
        <f t="shared" si="0"/>
        <v>#DIV/0!</v>
      </c>
      <c r="F49" s="46"/>
      <c r="G49" s="20">
        <f>'[1]Membros Ativos'!F51</f>
        <v>0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1">
        <f t="shared" si="1"/>
        <v>0</v>
      </c>
      <c r="AK49" s="11">
        <f t="shared" si="2"/>
        <v>0</v>
      </c>
    </row>
    <row r="50" spans="4:37" ht="15.75" customHeight="1" x14ac:dyDescent="0.3">
      <c r="D50" s="1"/>
      <c r="E50" s="7"/>
      <c r="F50" s="36" t="s">
        <v>5</v>
      </c>
      <c r="G50" s="36"/>
      <c r="H50" s="18">
        <f t="shared" ref="H50:AI50" si="3">COUNTIF(H9:H49,"P")</f>
        <v>2</v>
      </c>
      <c r="I50" s="11">
        <f t="shared" si="3"/>
        <v>3</v>
      </c>
      <c r="J50" s="11">
        <f t="shared" si="3"/>
        <v>3</v>
      </c>
      <c r="K50" s="11">
        <f t="shared" si="3"/>
        <v>4</v>
      </c>
      <c r="L50" s="11">
        <f t="shared" si="3"/>
        <v>5</v>
      </c>
      <c r="M50" s="11">
        <f t="shared" si="3"/>
        <v>4</v>
      </c>
      <c r="N50" s="11">
        <f t="shared" si="3"/>
        <v>3</v>
      </c>
      <c r="O50" s="11">
        <f t="shared" si="3"/>
        <v>0</v>
      </c>
      <c r="P50" s="11">
        <f t="shared" si="3"/>
        <v>0</v>
      </c>
      <c r="Q50" s="11">
        <f t="shared" si="3"/>
        <v>0</v>
      </c>
      <c r="R50" s="11">
        <f t="shared" si="3"/>
        <v>0</v>
      </c>
      <c r="S50" s="11">
        <f t="shared" si="3"/>
        <v>0</v>
      </c>
      <c r="T50" s="11">
        <f t="shared" si="3"/>
        <v>0</v>
      </c>
      <c r="U50" s="11">
        <f t="shared" si="3"/>
        <v>0</v>
      </c>
      <c r="V50" s="11">
        <f t="shared" si="3"/>
        <v>0</v>
      </c>
      <c r="W50" s="11">
        <f t="shared" si="3"/>
        <v>0</v>
      </c>
      <c r="X50" s="11">
        <f t="shared" si="3"/>
        <v>0</v>
      </c>
      <c r="Y50" s="11">
        <f t="shared" si="3"/>
        <v>0</v>
      </c>
      <c r="Z50" s="11">
        <f t="shared" si="3"/>
        <v>0</v>
      </c>
      <c r="AA50" s="11">
        <f t="shared" si="3"/>
        <v>0</v>
      </c>
      <c r="AB50" s="11">
        <f t="shared" si="3"/>
        <v>0</v>
      </c>
      <c r="AC50" s="11">
        <f t="shared" si="3"/>
        <v>0</v>
      </c>
      <c r="AD50" s="11">
        <f t="shared" si="3"/>
        <v>0</v>
      </c>
      <c r="AE50" s="11">
        <f t="shared" si="3"/>
        <v>0</v>
      </c>
      <c r="AF50" s="11">
        <f t="shared" si="3"/>
        <v>0</v>
      </c>
      <c r="AG50" s="11">
        <f t="shared" si="3"/>
        <v>0</v>
      </c>
      <c r="AH50" s="11">
        <f t="shared" si="3"/>
        <v>0</v>
      </c>
      <c r="AI50" s="11">
        <f t="shared" si="3"/>
        <v>0</v>
      </c>
      <c r="AJ50" s="12"/>
      <c r="AK50" s="12"/>
    </row>
    <row r="51" spans="4:37" ht="15.75" customHeight="1" x14ac:dyDescent="0.3">
      <c r="D51" s="1"/>
      <c r="E51" s="7"/>
      <c r="F51" s="36" t="s">
        <v>6</v>
      </c>
      <c r="G51" s="36"/>
      <c r="H51" s="18">
        <f t="shared" ref="H51:AI51" si="4">COUNTIF(H9:H49,"F")</f>
        <v>1</v>
      </c>
      <c r="I51" s="11">
        <f t="shared" si="4"/>
        <v>2</v>
      </c>
      <c r="J51" s="11">
        <f t="shared" si="4"/>
        <v>1</v>
      </c>
      <c r="K51" s="11">
        <f t="shared" si="4"/>
        <v>1</v>
      </c>
      <c r="L51" s="11">
        <f t="shared" si="4"/>
        <v>0</v>
      </c>
      <c r="M51" s="11">
        <f t="shared" si="4"/>
        <v>1</v>
      </c>
      <c r="N51" s="11">
        <f t="shared" si="4"/>
        <v>0</v>
      </c>
      <c r="O51" s="11">
        <f t="shared" si="4"/>
        <v>0</v>
      </c>
      <c r="P51" s="11">
        <f t="shared" si="4"/>
        <v>0</v>
      </c>
      <c r="Q51" s="11">
        <f t="shared" si="4"/>
        <v>0</v>
      </c>
      <c r="R51" s="11">
        <f t="shared" si="4"/>
        <v>0</v>
      </c>
      <c r="S51" s="11">
        <f t="shared" si="4"/>
        <v>0</v>
      </c>
      <c r="T51" s="11">
        <f t="shared" si="4"/>
        <v>0</v>
      </c>
      <c r="U51" s="11">
        <f t="shared" si="4"/>
        <v>0</v>
      </c>
      <c r="V51" s="11">
        <f t="shared" si="4"/>
        <v>0</v>
      </c>
      <c r="W51" s="11">
        <f t="shared" si="4"/>
        <v>0</v>
      </c>
      <c r="X51" s="11">
        <f t="shared" si="4"/>
        <v>0</v>
      </c>
      <c r="Y51" s="11">
        <f t="shared" si="4"/>
        <v>0</v>
      </c>
      <c r="Z51" s="11">
        <f t="shared" si="4"/>
        <v>0</v>
      </c>
      <c r="AA51" s="11">
        <f t="shared" si="4"/>
        <v>0</v>
      </c>
      <c r="AB51" s="11">
        <f t="shared" si="4"/>
        <v>0</v>
      </c>
      <c r="AC51" s="11">
        <f t="shared" si="4"/>
        <v>0</v>
      </c>
      <c r="AD51" s="11">
        <f t="shared" si="4"/>
        <v>0</v>
      </c>
      <c r="AE51" s="11">
        <f t="shared" si="4"/>
        <v>0</v>
      </c>
      <c r="AF51" s="11">
        <f t="shared" si="4"/>
        <v>0</v>
      </c>
      <c r="AG51" s="11">
        <f t="shared" si="4"/>
        <v>0</v>
      </c>
      <c r="AH51" s="11">
        <f t="shared" si="4"/>
        <v>0</v>
      </c>
      <c r="AI51" s="11">
        <f t="shared" si="4"/>
        <v>0</v>
      </c>
      <c r="AJ51" s="12"/>
      <c r="AK51" s="12"/>
    </row>
    <row r="52" spans="4:37" ht="15.75" customHeight="1" x14ac:dyDescent="0.3">
      <c r="D52" s="1"/>
      <c r="E52" s="7"/>
      <c r="F52" s="36" t="s">
        <v>11</v>
      </c>
      <c r="G52" s="36"/>
      <c r="H52" s="18">
        <f t="shared" ref="H52:AI52" si="5">COUNTIF(H9:H49,"J")</f>
        <v>2</v>
      </c>
      <c r="I52" s="11">
        <f t="shared" si="5"/>
        <v>0</v>
      </c>
      <c r="J52" s="11">
        <f t="shared" si="5"/>
        <v>1</v>
      </c>
      <c r="K52" s="11">
        <f t="shared" si="5"/>
        <v>0</v>
      </c>
      <c r="L52" s="11">
        <f t="shared" si="5"/>
        <v>0</v>
      </c>
      <c r="M52" s="11">
        <f t="shared" si="5"/>
        <v>0</v>
      </c>
      <c r="N52" s="11">
        <f t="shared" si="5"/>
        <v>2</v>
      </c>
      <c r="O52" s="11">
        <f t="shared" si="5"/>
        <v>0</v>
      </c>
      <c r="P52" s="11">
        <f t="shared" si="5"/>
        <v>0</v>
      </c>
      <c r="Q52" s="11">
        <f t="shared" si="5"/>
        <v>0</v>
      </c>
      <c r="R52" s="11">
        <f t="shared" si="5"/>
        <v>0</v>
      </c>
      <c r="S52" s="11">
        <f t="shared" si="5"/>
        <v>0</v>
      </c>
      <c r="T52" s="11">
        <f t="shared" si="5"/>
        <v>0</v>
      </c>
      <c r="U52" s="11">
        <f t="shared" si="5"/>
        <v>0</v>
      </c>
      <c r="V52" s="11">
        <f t="shared" si="5"/>
        <v>0</v>
      </c>
      <c r="W52" s="11">
        <f t="shared" si="5"/>
        <v>0</v>
      </c>
      <c r="X52" s="11">
        <f t="shared" si="5"/>
        <v>0</v>
      </c>
      <c r="Y52" s="11">
        <f t="shared" si="5"/>
        <v>0</v>
      </c>
      <c r="Z52" s="11">
        <f t="shared" si="5"/>
        <v>0</v>
      </c>
      <c r="AA52" s="11">
        <f t="shared" si="5"/>
        <v>0</v>
      </c>
      <c r="AB52" s="11">
        <f t="shared" si="5"/>
        <v>0</v>
      </c>
      <c r="AC52" s="11">
        <f t="shared" si="5"/>
        <v>0</v>
      </c>
      <c r="AD52" s="11">
        <f t="shared" si="5"/>
        <v>0</v>
      </c>
      <c r="AE52" s="11">
        <f t="shared" si="5"/>
        <v>0</v>
      </c>
      <c r="AF52" s="11">
        <f t="shared" si="5"/>
        <v>0</v>
      </c>
      <c r="AG52" s="11">
        <f t="shared" si="5"/>
        <v>0</v>
      </c>
      <c r="AH52" s="11">
        <f t="shared" si="5"/>
        <v>0</v>
      </c>
      <c r="AI52" s="11">
        <f t="shared" si="5"/>
        <v>0</v>
      </c>
      <c r="AJ52" s="12"/>
      <c r="AK52" s="12"/>
    </row>
    <row r="53" spans="4:37" ht="15.75" customHeight="1" x14ac:dyDescent="0.3">
      <c r="D53" s="1"/>
      <c r="E53" s="7"/>
      <c r="F53" s="36" t="s">
        <v>12</v>
      </c>
      <c r="G53" s="36"/>
      <c r="H53" s="19">
        <f t="shared" ref="H53:AI53" si="6">H50/(H51+H50)</f>
        <v>0.66666666666666663</v>
      </c>
      <c r="I53" s="13">
        <f t="shared" si="6"/>
        <v>0.6</v>
      </c>
      <c r="J53" s="13">
        <f t="shared" si="6"/>
        <v>0.75</v>
      </c>
      <c r="K53" s="13">
        <f t="shared" si="6"/>
        <v>0.8</v>
      </c>
      <c r="L53" s="13">
        <f t="shared" si="6"/>
        <v>1</v>
      </c>
      <c r="M53" s="13">
        <f t="shared" si="6"/>
        <v>0.8</v>
      </c>
      <c r="N53" s="13">
        <f t="shared" si="6"/>
        <v>1</v>
      </c>
      <c r="O53" s="13" t="e">
        <f t="shared" si="6"/>
        <v>#DIV/0!</v>
      </c>
      <c r="P53" s="13" t="e">
        <f t="shared" si="6"/>
        <v>#DIV/0!</v>
      </c>
      <c r="Q53" s="13" t="e">
        <f t="shared" si="6"/>
        <v>#DIV/0!</v>
      </c>
      <c r="R53" s="13" t="e">
        <f t="shared" si="6"/>
        <v>#DIV/0!</v>
      </c>
      <c r="S53" s="13" t="e">
        <f t="shared" si="6"/>
        <v>#DIV/0!</v>
      </c>
      <c r="T53" s="13" t="e">
        <f t="shared" si="6"/>
        <v>#DIV/0!</v>
      </c>
      <c r="U53" s="13" t="e">
        <f t="shared" si="6"/>
        <v>#DIV/0!</v>
      </c>
      <c r="V53" s="13" t="e">
        <f t="shared" si="6"/>
        <v>#DIV/0!</v>
      </c>
      <c r="W53" s="13" t="e">
        <f t="shared" si="6"/>
        <v>#DIV/0!</v>
      </c>
      <c r="X53" s="13" t="e">
        <f t="shared" si="6"/>
        <v>#DIV/0!</v>
      </c>
      <c r="Y53" s="13" t="e">
        <f t="shared" si="6"/>
        <v>#DIV/0!</v>
      </c>
      <c r="Z53" s="13" t="e">
        <f t="shared" si="6"/>
        <v>#DIV/0!</v>
      </c>
      <c r="AA53" s="13" t="e">
        <f t="shared" si="6"/>
        <v>#DIV/0!</v>
      </c>
      <c r="AB53" s="13" t="e">
        <f t="shared" si="6"/>
        <v>#DIV/0!</v>
      </c>
      <c r="AC53" s="13" t="e">
        <f t="shared" si="6"/>
        <v>#DIV/0!</v>
      </c>
      <c r="AD53" s="13" t="e">
        <f t="shared" si="6"/>
        <v>#DIV/0!</v>
      </c>
      <c r="AE53" s="13" t="e">
        <f t="shared" si="6"/>
        <v>#DIV/0!</v>
      </c>
      <c r="AF53" s="13" t="e">
        <f t="shared" si="6"/>
        <v>#DIV/0!</v>
      </c>
      <c r="AG53" s="13" t="e">
        <f t="shared" si="6"/>
        <v>#DIV/0!</v>
      </c>
      <c r="AH53" s="13" t="e">
        <f t="shared" si="6"/>
        <v>#DIV/0!</v>
      </c>
      <c r="AI53" s="13" t="e">
        <f t="shared" si="6"/>
        <v>#DIV/0!</v>
      </c>
      <c r="AJ53" s="12"/>
      <c r="AK53" s="12"/>
    </row>
    <row r="54" spans="4:37" ht="15.75" customHeight="1" x14ac:dyDescent="0.3">
      <c r="E54" s="14"/>
    </row>
    <row r="55" spans="4:37" ht="15.75" customHeight="1" x14ac:dyDescent="0.3"/>
    <row r="56" spans="4:37" ht="15.75" customHeight="1" x14ac:dyDescent="0.3"/>
    <row r="57" spans="4:37" ht="15.75" customHeight="1" x14ac:dyDescent="0.3"/>
    <row r="58" spans="4:37" ht="15.75" customHeight="1" x14ac:dyDescent="0.3"/>
    <row r="59" spans="4:37" ht="15.75" customHeight="1" x14ac:dyDescent="0.3"/>
    <row r="60" spans="4:37" ht="15.75" customHeight="1" x14ac:dyDescent="0.3"/>
    <row r="61" spans="4:37" ht="15.75" customHeight="1" x14ac:dyDescent="0.3"/>
    <row r="62" spans="4:37" ht="15.75" customHeight="1" x14ac:dyDescent="0.3"/>
    <row r="63" spans="4:37" ht="15.75" customHeight="1" x14ac:dyDescent="0.3"/>
    <row r="64" spans="4:37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42">
    <mergeCell ref="AI8:AI9"/>
    <mergeCell ref="AJ8:AJ9"/>
    <mergeCell ref="AK8:AK9"/>
    <mergeCell ref="E8:E9"/>
    <mergeCell ref="F8:F9"/>
    <mergeCell ref="G8:G9"/>
    <mergeCell ref="AD8:AD9"/>
    <mergeCell ref="AE8:AE9"/>
    <mergeCell ref="AF8:AF9"/>
    <mergeCell ref="AG8:AG9"/>
    <mergeCell ref="AH8:AH9"/>
    <mergeCell ref="Y8:Y9"/>
    <mergeCell ref="Z8:Z9"/>
    <mergeCell ref="AA8:AA9"/>
    <mergeCell ref="AB8:AB9"/>
    <mergeCell ref="AC8:AC9"/>
    <mergeCell ref="T8:T9"/>
    <mergeCell ref="U8:U9"/>
    <mergeCell ref="V8:V9"/>
    <mergeCell ref="W8:W9"/>
    <mergeCell ref="X8:X9"/>
    <mergeCell ref="F50:G50"/>
    <mergeCell ref="F51:G51"/>
    <mergeCell ref="F52:G52"/>
    <mergeCell ref="F53:G53"/>
    <mergeCell ref="H8:H9"/>
    <mergeCell ref="A1:AL4"/>
    <mergeCell ref="B7:C7"/>
    <mergeCell ref="E7:AK7"/>
    <mergeCell ref="B8:C8"/>
    <mergeCell ref="B41:C41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</mergeCells>
  <pageMargins left="0.51180555555555596" right="0.51180555555555596" top="0.78749999999999998" bottom="0.78749999999999998" header="0.511811023622047" footer="0.511811023622047"/>
  <pageSetup paperSize="9" scale="24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Pautas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</dc:creator>
  <dc:description/>
  <cp:lastModifiedBy>gugasoje@gmail.com</cp:lastModifiedBy>
  <cp:revision>1</cp:revision>
  <cp:lastPrinted>2024-08-02T00:23:05Z</cp:lastPrinted>
  <dcterms:created xsi:type="dcterms:W3CDTF">2022-06-17T15:47:14Z</dcterms:created>
  <dcterms:modified xsi:type="dcterms:W3CDTF">2024-08-02T00:27:29Z</dcterms:modified>
  <dc:language>pt-BR</dc:language>
</cp:coreProperties>
</file>