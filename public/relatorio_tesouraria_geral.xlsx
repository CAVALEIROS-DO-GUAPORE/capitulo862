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abri\capitulo862\public\"/>
    </mc:Choice>
  </mc:AlternateContent>
  <xr:revisionPtr revIDLastSave="0" documentId="13_ncr:1_{1E6E0F1E-6735-4D81-971C-742E65DE99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latório Tesourar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" l="1"/>
  <c r="G49" i="1"/>
  <c r="E10" i="1" s="1"/>
  <c r="G16" i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E8" i="1"/>
  <c r="E7" i="1"/>
</calcChain>
</file>

<file path=xl/sharedStrings.xml><?xml version="1.0" encoding="utf-8"?>
<sst xmlns="http://schemas.openxmlformats.org/spreadsheetml/2006/main" count="39" uniqueCount="35">
  <si>
    <t>Descrição</t>
  </si>
  <si>
    <t>Data</t>
  </si>
  <si>
    <t>Histórico</t>
  </si>
  <si>
    <t>Entrada</t>
  </si>
  <si>
    <t>Saída</t>
  </si>
  <si>
    <t>Saldo</t>
  </si>
  <si>
    <t>Saldo Inicial da Gestão</t>
  </si>
  <si>
    <t>____________________________________</t>
  </si>
  <si>
    <t>Escrivão</t>
  </si>
  <si>
    <t>Mestre Conselheiro</t>
  </si>
  <si>
    <t>Tesoureiro</t>
  </si>
  <si>
    <t xml:space="preserve"> Relatório Semestral da Tesouraria</t>
  </si>
  <si>
    <t>Compra de velas novas (EXEMPLO)</t>
  </si>
  <si>
    <t>Entrada de Mensalidades (EXEMPLO)</t>
  </si>
  <si>
    <t>TOTAL:</t>
  </si>
  <si>
    <t>Saída para Iniciação (EXEMPLO)</t>
  </si>
  <si>
    <r>
      <rPr>
        <b/>
        <sz val="12"/>
        <color theme="1"/>
        <rFont val="Arial"/>
        <family val="2"/>
      </rPr>
      <t>OBS:</t>
    </r>
    <r>
      <rPr>
        <sz val="12"/>
        <color theme="1"/>
        <rFont val="Arial"/>
        <family val="2"/>
      </rPr>
      <t xml:space="preserve"> preencher </t>
    </r>
    <r>
      <rPr>
        <b/>
        <sz val="12"/>
        <color theme="1"/>
        <rFont val="Arial"/>
        <family val="2"/>
      </rPr>
      <t>SOMENTE</t>
    </r>
    <r>
      <rPr>
        <sz val="12"/>
        <color theme="1"/>
        <rFont val="Arial"/>
        <family val="2"/>
      </rPr>
      <t xml:space="preserve"> o nome do CAPÍTULO, a data inicial e final, os lançamentos dos valores nos campos </t>
    </r>
    <r>
      <rPr>
        <i/>
        <sz val="12"/>
        <color theme="1"/>
        <rFont val="Arial"/>
        <family val="2"/>
      </rPr>
      <t>Entrada</t>
    </r>
    <r>
      <rPr>
        <sz val="12"/>
        <color theme="1"/>
        <rFont val="Arial"/>
        <family val="2"/>
      </rPr>
      <t xml:space="preserve"> e </t>
    </r>
    <r>
      <rPr>
        <i/>
        <sz val="12"/>
        <color theme="1"/>
        <rFont val="Arial"/>
        <family val="2"/>
      </rPr>
      <t xml:space="preserve">Saída, </t>
    </r>
    <r>
      <rPr>
        <sz val="12"/>
        <color theme="1"/>
        <rFont val="Arial"/>
        <family val="2"/>
      </rPr>
      <t xml:space="preserve">e o nome do Escrivão, MC e Tesoureiro no final do relatório. </t>
    </r>
    <r>
      <rPr>
        <b/>
        <sz val="12"/>
        <color theme="1"/>
        <rFont val="Arial"/>
        <family val="2"/>
      </rPr>
      <t>TODOS</t>
    </r>
    <r>
      <rPr>
        <sz val="12"/>
        <color theme="1"/>
        <rFont val="Arial"/>
        <family val="2"/>
      </rPr>
      <t xml:space="preserve"> os outros valores são calculados automaticamente. As assinaturas devem ser em PNG transparente, certificado digital ou o relatório pode ser assinado pessoalmente e digitalizado.</t>
    </r>
  </si>
  <si>
    <t>Data Inicial:         .</t>
  </si>
  <si>
    <t>Saldo em Caixa - Início Gestão:         .</t>
  </si>
  <si>
    <t>Total Recebido até esta data:         .</t>
  </si>
  <si>
    <t>Total Gasto até esta data:         .</t>
  </si>
  <si>
    <t>Total em Caixa até esta data:         .</t>
  </si>
  <si>
    <t>Data:         .</t>
  </si>
  <si>
    <t>Presidente do Conselho Consultivo</t>
  </si>
  <si>
    <t>Capítulo Cavaleiros do Guaporé nº 862</t>
  </si>
  <si>
    <t>(data do inicio da gestão)</t>
  </si>
  <si>
    <t>(data final da gestão)</t>
  </si>
  <si>
    <t>{nome_escrivao}</t>
  </si>
  <si>
    <t>{assinatura_mestre}</t>
  </si>
  <si>
    <t>{nome_mestre}</t>
  </si>
  <si>
    <t>{assinatura_pcc}</t>
  </si>
  <si>
    <t>{nome_pcc}</t>
  </si>
  <si>
    <t>{assinatura_tesoureiro}</t>
  </si>
  <si>
    <t>{nome_tesoureiro}</t>
  </si>
  <si>
    <t xml:space="preserve"> {assinatura_escrivao}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</si>
</sst>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-F800]dddd\,\ mmmm\ dd\,\ yyyy"/>
    <numFmt numFmtId="165" formatCode="&quot;R$&quot;\ #,##0.00"/>
  </numFmts>
  <fonts count="21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3"/>
      <color theme="1"/>
      <name val="Arial"/>
      <family val="2"/>
    </font>
    <font>
      <sz val="11"/>
      <color theme="1"/>
      <name val="Calibri"/>
      <family val="2"/>
    </font>
    <font>
      <b/>
      <sz val="16"/>
      <color theme="1"/>
      <name val="Arial"/>
      <family val="2"/>
    </font>
    <font>
      <b/>
      <sz val="13"/>
      <color theme="1"/>
      <name val="Arial"/>
      <family val="2"/>
    </font>
    <font>
      <sz val="14"/>
      <color theme="0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1"/>
      <color theme="1"/>
      <name val="Calibri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Calibri"/>
      <family val="2"/>
      <scheme val="minor"/>
    </font>
    <font>
      <b/>
      <sz val="20"/>
      <color theme="0"/>
      <name val="Arial"/>
      <family val="2"/>
    </font>
    <font>
      <sz val="11"/>
      <color theme="0"/>
      <name val="Calibri"/>
      <family val="2"/>
    </font>
    <font>
      <sz val="12"/>
      <color rgb="FFFF5050"/>
      <name val="Arial"/>
      <family val="2"/>
    </font>
    <font>
      <sz val="11"/>
      <color rgb="FFFF5050"/>
      <name val="Calibri"/>
      <family val="2"/>
      <scheme val="minor"/>
    </font>
    <font>
      <sz val="13"/>
      <color theme="0"/>
      <name val="Arial"/>
      <family val="2"/>
    </font>
    <font>
      <sz val="11"/>
      <color theme="0"/>
      <name val="Arial"/>
      <family val="2"/>
    </font>
    <font>
      <sz val="13"/>
      <color rgb="FFFF505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002060"/>
        <bgColor rgb="FF93C47D"/>
      </patternFill>
    </fill>
    <fill>
      <patternFill patternType="solid">
        <fgColor theme="4" tint="-0.249977111117893"/>
        <bgColor rgb="FF93C47D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theme="4"/>
      </patternFill>
    </fill>
    <fill>
      <patternFill patternType="solid">
        <fgColor theme="4" tint="-0.249977111117893"/>
        <bgColor rgb="FF4A86E8"/>
      </patternFill>
    </fill>
    <fill>
      <patternFill patternType="solid">
        <fgColor theme="5"/>
        <bgColor indexed="64"/>
      </patternFill>
    </fill>
    <fill>
      <patternFill patternType="solid">
        <fgColor rgb="FF39DB54"/>
        <bgColor indexed="64"/>
      </patternFill>
    </fill>
    <fill>
      <patternFill patternType="solid">
        <fgColor rgb="FF39DB54"/>
        <bgColor rgb="FF4A86E8"/>
      </patternFill>
    </fill>
    <fill>
      <patternFill patternType="solid">
        <fgColor theme="5"/>
        <bgColor rgb="FF4A86E8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0" fontId="4" fillId="0" borderId="0" xfId="0" applyFont="1"/>
    <xf numFmtId="0" fontId="1" fillId="4" borderId="1" xfId="0" applyFont="1" applyFill="1" applyBorder="1"/>
    <xf numFmtId="0" fontId="1" fillId="4" borderId="4" xfId="0" applyFont="1" applyFill="1" applyBorder="1"/>
    <xf numFmtId="0" fontId="1" fillId="4" borderId="6" xfId="0" applyFont="1" applyFill="1" applyBorder="1"/>
    <xf numFmtId="0" fontId="1" fillId="4" borderId="0" xfId="0" applyFont="1" applyFill="1"/>
    <xf numFmtId="0" fontId="1" fillId="4" borderId="5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1" fillId="4" borderId="8" xfId="0" applyFont="1" applyFill="1" applyBorder="1"/>
    <xf numFmtId="0" fontId="1" fillId="4" borderId="0" xfId="0" applyFont="1" applyFill="1" applyAlignment="1">
      <alignment horizontal="center" vertical="center"/>
    </xf>
    <xf numFmtId="0" fontId="1" fillId="5" borderId="0" xfId="0" applyFont="1" applyFill="1"/>
    <xf numFmtId="0" fontId="3" fillId="5" borderId="0" xfId="0" applyFont="1" applyFill="1" applyAlignment="1">
      <alignment horizontal="center"/>
    </xf>
    <xf numFmtId="0" fontId="1" fillId="4" borderId="7" xfId="0" applyFont="1" applyFill="1" applyBorder="1"/>
    <xf numFmtId="0" fontId="5" fillId="4" borderId="4" xfId="0" applyFont="1" applyFill="1" applyBorder="1" applyAlignment="1">
      <alignment vertical="center"/>
    </xf>
    <xf numFmtId="0" fontId="1" fillId="7" borderId="0" xfId="0" applyFont="1" applyFill="1"/>
    <xf numFmtId="44" fontId="1" fillId="4" borderId="0" xfId="0" applyNumberFormat="1" applyFont="1" applyFill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44" fontId="0" fillId="9" borderId="15" xfId="0" applyNumberFormat="1" applyFill="1" applyBorder="1" applyAlignment="1">
      <alignment horizontal="center" vertical="center"/>
    </xf>
    <xf numFmtId="44" fontId="0" fillId="0" borderId="15" xfId="0" applyNumberFormat="1" applyBorder="1" applyAlignment="1">
      <alignment horizontal="center" vertical="center"/>
    </xf>
    <xf numFmtId="44" fontId="0" fillId="10" borderId="15" xfId="0" applyNumberFormat="1" applyFill="1" applyBorder="1" applyAlignment="1">
      <alignment horizontal="center" vertical="center"/>
    </xf>
    <xf numFmtId="44" fontId="2" fillId="11" borderId="15" xfId="0" applyNumberFormat="1" applyFont="1" applyFill="1" applyBorder="1" applyAlignment="1">
      <alignment horizontal="center" vertical="center"/>
    </xf>
    <xf numFmtId="44" fontId="12" fillId="5" borderId="15" xfId="0" applyNumberFormat="1" applyFont="1" applyFill="1" applyBorder="1" applyAlignment="1">
      <alignment horizontal="center" vertical="center"/>
    </xf>
    <xf numFmtId="44" fontId="2" fillId="12" borderId="15" xfId="0" applyNumberFormat="1" applyFont="1" applyFill="1" applyBorder="1" applyAlignment="1">
      <alignment horizontal="center" vertical="center"/>
    </xf>
    <xf numFmtId="0" fontId="19" fillId="5" borderId="0" xfId="0" applyFont="1" applyFill="1"/>
    <xf numFmtId="0" fontId="19" fillId="5" borderId="0" xfId="0" applyFont="1" applyFill="1" applyAlignment="1">
      <alignment horizontal="right"/>
    </xf>
    <xf numFmtId="0" fontId="18" fillId="5" borderId="0" xfId="0" applyFont="1" applyFill="1" applyAlignment="1">
      <alignment horizontal="center"/>
    </xf>
    <xf numFmtId="0" fontId="18" fillId="5" borderId="0" xfId="0" applyFont="1" applyFill="1" applyAlignment="1">
      <alignment horizontal="center"/>
    </xf>
    <xf numFmtId="0" fontId="13" fillId="6" borderId="0" xfId="0" applyFont="1" applyFill="1"/>
    <xf numFmtId="0" fontId="2" fillId="3" borderId="15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19" fillId="5" borderId="0" xfId="0" applyFont="1" applyFill="1" applyAlignment="1">
      <alignment horizontal="center"/>
    </xf>
    <xf numFmtId="0" fontId="20" fillId="5" borderId="0" xfId="0" applyFont="1" applyFill="1" applyAlignment="1">
      <alignment horizontal="center"/>
    </xf>
    <xf numFmtId="0" fontId="17" fillId="6" borderId="0" xfId="0" applyFont="1" applyFill="1"/>
    <xf numFmtId="165" fontId="18" fillId="7" borderId="0" xfId="0" applyNumberFormat="1" applyFont="1" applyFill="1" applyAlignment="1">
      <alignment horizontal="left"/>
    </xf>
    <xf numFmtId="0" fontId="7" fillId="7" borderId="0" xfId="0" applyFont="1" applyFill="1" applyAlignment="1">
      <alignment horizontal="right" vertical="center" wrapText="1"/>
    </xf>
    <xf numFmtId="164" fontId="16" fillId="7" borderId="0" xfId="0" applyNumberFormat="1" applyFont="1" applyFill="1" applyAlignment="1">
      <alignment horizontal="left"/>
    </xf>
    <xf numFmtId="0" fontId="11" fillId="8" borderId="9" xfId="0" applyFont="1" applyFill="1" applyBorder="1" applyAlignment="1">
      <alignment horizontal="center" vertical="center"/>
    </xf>
    <xf numFmtId="0" fontId="10" fillId="6" borderId="10" xfId="0" applyFont="1" applyFill="1" applyBorder="1"/>
    <xf numFmtId="0" fontId="14" fillId="2" borderId="1" xfId="0" applyFont="1" applyFill="1" applyBorder="1" applyAlignment="1">
      <alignment horizontal="center" vertical="center"/>
    </xf>
    <xf numFmtId="0" fontId="15" fillId="0" borderId="2" xfId="0" applyFont="1" applyBorder="1"/>
    <xf numFmtId="0" fontId="15" fillId="0" borderId="3" xfId="0" applyFont="1" applyBorder="1"/>
    <xf numFmtId="0" fontId="14" fillId="2" borderId="6" xfId="0" applyFont="1" applyFill="1" applyBorder="1" applyAlignment="1">
      <alignment horizontal="center" vertical="center"/>
    </xf>
    <xf numFmtId="0" fontId="15" fillId="0" borderId="7" xfId="0" applyFont="1" applyBorder="1"/>
    <xf numFmtId="0" fontId="15" fillId="0" borderId="8" xfId="0" applyFont="1" applyBorder="1"/>
    <xf numFmtId="0" fontId="7" fillId="7" borderId="0" xfId="0" applyFont="1" applyFill="1" applyAlignment="1">
      <alignment horizontal="right" wrapText="1"/>
    </xf>
    <xf numFmtId="0" fontId="7" fillId="7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39DB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95555</xdr:colOff>
      <xdr:row>2</xdr:row>
      <xdr:rowOff>110067</xdr:rowOff>
    </xdr:from>
    <xdr:to>
      <xdr:col>3</xdr:col>
      <xdr:colOff>177800</xdr:colOff>
      <xdr:row>3</xdr:row>
      <xdr:rowOff>260422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022" y="491067"/>
          <a:ext cx="1047445" cy="4636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1005"/>
  <sheetViews>
    <sheetView showGridLines="0" tabSelected="1" zoomScale="90" zoomScaleNormal="90" workbookViewId="0">
      <selection activeCell="C68" sqref="C68:G68"/>
    </sheetView>
  </sheetViews>
  <sheetFormatPr defaultColWidth="14.42578125" defaultRowHeight="15" customHeight="1" x14ac:dyDescent="0.25"/>
  <cols>
    <col min="1" max="1" width="8.7109375" customWidth="1"/>
    <col min="2" max="2" width="6.28515625" customWidth="1"/>
    <col min="3" max="3" width="14.140625" customWidth="1"/>
    <col min="4" max="4" width="46.5703125" customWidth="1"/>
    <col min="5" max="6" width="15.28515625" customWidth="1"/>
    <col min="7" max="7" width="15.140625" customWidth="1"/>
    <col min="8" max="8" width="6.42578125" customWidth="1"/>
    <col min="9" max="16" width="8.7109375" customWidth="1"/>
  </cols>
  <sheetData>
    <row r="2" spans="2:8" x14ac:dyDescent="0.25">
      <c r="B2" s="6"/>
      <c r="C2" s="11"/>
      <c r="D2" s="11"/>
      <c r="E2" s="11"/>
      <c r="F2" s="11"/>
      <c r="G2" s="11"/>
      <c r="H2" s="12"/>
    </row>
    <row r="3" spans="2:8" ht="26.25" x14ac:dyDescent="0.25">
      <c r="B3" s="7"/>
      <c r="C3" s="46" t="s">
        <v>11</v>
      </c>
      <c r="D3" s="47"/>
      <c r="E3" s="47"/>
      <c r="F3" s="47"/>
      <c r="G3" s="48"/>
      <c r="H3" s="10"/>
    </row>
    <row r="4" spans="2:8" ht="25.5" customHeight="1" x14ac:dyDescent="0.25">
      <c r="B4" s="7"/>
      <c r="C4" s="49" t="s">
        <v>24</v>
      </c>
      <c r="D4" s="50"/>
      <c r="E4" s="50"/>
      <c r="F4" s="50"/>
      <c r="G4" s="51"/>
      <c r="H4" s="10"/>
    </row>
    <row r="5" spans="2:8" ht="16.5" customHeight="1" x14ac:dyDescent="0.25">
      <c r="B5" s="7"/>
      <c r="C5" s="9"/>
      <c r="D5" s="9"/>
      <c r="E5" s="9"/>
      <c r="F5" s="9"/>
      <c r="G5" s="9"/>
      <c r="H5" s="10"/>
    </row>
    <row r="6" spans="2:8" ht="21" customHeight="1" x14ac:dyDescent="0.25">
      <c r="B6" s="7"/>
      <c r="C6" s="52" t="s">
        <v>17</v>
      </c>
      <c r="D6" s="35"/>
      <c r="E6" s="43" t="s">
        <v>25</v>
      </c>
      <c r="F6" s="43"/>
      <c r="G6" s="40"/>
      <c r="H6" s="10"/>
    </row>
    <row r="7" spans="2:8" ht="21" customHeight="1" x14ac:dyDescent="0.25">
      <c r="B7" s="7"/>
      <c r="C7" s="53" t="s">
        <v>18</v>
      </c>
      <c r="D7" s="35"/>
      <c r="E7" s="41">
        <f>E16</f>
        <v>100</v>
      </c>
      <c r="F7" s="41"/>
      <c r="G7" s="19"/>
      <c r="H7" s="10"/>
    </row>
    <row r="8" spans="2:8" ht="21" customHeight="1" x14ac:dyDescent="0.25">
      <c r="B8" s="7"/>
      <c r="C8" s="42" t="s">
        <v>19</v>
      </c>
      <c r="D8" s="35"/>
      <c r="E8" s="41">
        <f>SUM(E16:E48)</f>
        <v>1100</v>
      </c>
      <c r="F8" s="41"/>
      <c r="G8" s="19"/>
      <c r="H8" s="10"/>
    </row>
    <row r="9" spans="2:8" ht="21" customHeight="1" x14ac:dyDescent="0.25">
      <c r="B9" s="7"/>
      <c r="C9" s="42" t="s">
        <v>20</v>
      </c>
      <c r="D9" s="35"/>
      <c r="E9" s="41">
        <f>SUM(F16:F48)</f>
        <v>400</v>
      </c>
      <c r="F9" s="41"/>
      <c r="G9" s="19"/>
      <c r="H9" s="10"/>
    </row>
    <row r="10" spans="2:8" ht="21" customHeight="1" x14ac:dyDescent="0.25">
      <c r="B10" s="7"/>
      <c r="C10" s="42" t="s">
        <v>21</v>
      </c>
      <c r="D10" s="35"/>
      <c r="E10" s="41">
        <f>G49</f>
        <v>700</v>
      </c>
      <c r="F10" s="41"/>
      <c r="G10" s="19"/>
      <c r="H10" s="10"/>
    </row>
    <row r="11" spans="2:8" ht="15.75" x14ac:dyDescent="0.25">
      <c r="B11" s="7"/>
      <c r="C11" s="42" t="s">
        <v>22</v>
      </c>
      <c r="D11" s="35"/>
      <c r="E11" s="43" t="s">
        <v>26</v>
      </c>
      <c r="F11" s="43"/>
      <c r="G11" s="40"/>
      <c r="H11" s="10"/>
    </row>
    <row r="12" spans="2:8" ht="16.5" customHeight="1" x14ac:dyDescent="0.25">
      <c r="B12" s="7"/>
      <c r="C12" s="9"/>
      <c r="D12" s="9"/>
      <c r="E12" s="9"/>
      <c r="F12" s="9"/>
      <c r="G12" s="9"/>
      <c r="H12" s="10"/>
    </row>
    <row r="13" spans="2:8" ht="20.25" x14ac:dyDescent="0.25">
      <c r="B13" s="7"/>
      <c r="C13" s="9"/>
      <c r="D13" s="44" t="s">
        <v>0</v>
      </c>
      <c r="E13" s="45"/>
      <c r="F13" s="45"/>
      <c r="G13" s="18"/>
      <c r="H13" s="10"/>
    </row>
    <row r="14" spans="2:8" ht="15.75" thickBot="1" x14ac:dyDescent="0.3">
      <c r="B14" s="7"/>
      <c r="C14" s="9"/>
      <c r="D14" s="9"/>
      <c r="E14" s="9"/>
      <c r="F14" s="9"/>
      <c r="G14" s="9"/>
      <c r="H14" s="10"/>
    </row>
    <row r="15" spans="2:8" ht="17.25" thickBot="1" x14ac:dyDescent="0.3">
      <c r="B15" s="7"/>
      <c r="C15" s="1" t="s">
        <v>1</v>
      </c>
      <c r="D15" s="2" t="s">
        <v>2</v>
      </c>
      <c r="E15" s="21" t="s">
        <v>3</v>
      </c>
      <c r="F15" s="21" t="s">
        <v>4</v>
      </c>
      <c r="G15" s="22" t="s">
        <v>5</v>
      </c>
      <c r="H15" s="10"/>
    </row>
    <row r="16" spans="2:8" ht="15.75" customHeight="1" x14ac:dyDescent="0.25">
      <c r="B16" s="7"/>
      <c r="C16" s="3">
        <v>45505</v>
      </c>
      <c r="D16" s="23" t="s">
        <v>6</v>
      </c>
      <c r="E16" s="27">
        <v>100</v>
      </c>
      <c r="F16" s="25"/>
      <c r="G16" s="26">
        <f>E16-F16</f>
        <v>100</v>
      </c>
      <c r="H16" s="10"/>
    </row>
    <row r="17" spans="2:8" x14ac:dyDescent="0.25">
      <c r="B17" s="7"/>
      <c r="C17" s="3">
        <v>45534</v>
      </c>
      <c r="D17" s="23" t="s">
        <v>12</v>
      </c>
      <c r="E17" s="27"/>
      <c r="F17" s="25">
        <v>50</v>
      </c>
      <c r="G17" s="26">
        <f>G16+E17-F17</f>
        <v>50</v>
      </c>
      <c r="H17" s="10"/>
    </row>
    <row r="18" spans="2:8" x14ac:dyDescent="0.25">
      <c r="B18" s="7"/>
      <c r="C18" s="4">
        <v>45536</v>
      </c>
      <c r="D18" s="23" t="s">
        <v>13</v>
      </c>
      <c r="E18" s="27">
        <v>500</v>
      </c>
      <c r="F18" s="25"/>
      <c r="G18" s="26">
        <f>G17+E18-F18</f>
        <v>550</v>
      </c>
      <c r="H18" s="10"/>
    </row>
    <row r="19" spans="2:8" x14ac:dyDescent="0.25">
      <c r="B19" s="7"/>
      <c r="C19" s="4">
        <v>45547</v>
      </c>
      <c r="D19" s="23" t="s">
        <v>15</v>
      </c>
      <c r="E19" s="27"/>
      <c r="F19" s="25">
        <v>350</v>
      </c>
      <c r="G19" s="26">
        <f t="shared" ref="G19:G48" si="0">G18+E19-F19</f>
        <v>200</v>
      </c>
      <c r="H19" s="10"/>
    </row>
    <row r="20" spans="2:8" x14ac:dyDescent="0.25">
      <c r="B20" s="7"/>
      <c r="C20" s="4">
        <v>45566</v>
      </c>
      <c r="D20" s="23" t="s">
        <v>13</v>
      </c>
      <c r="E20" s="27">
        <v>500</v>
      </c>
      <c r="F20" s="25"/>
      <c r="G20" s="26">
        <f t="shared" si="0"/>
        <v>700</v>
      </c>
      <c r="H20" s="10"/>
    </row>
    <row r="21" spans="2:8" ht="15.75" customHeight="1" x14ac:dyDescent="0.25">
      <c r="B21" s="7"/>
      <c r="C21" s="4"/>
      <c r="D21" s="23"/>
      <c r="E21" s="27"/>
      <c r="F21" s="25"/>
      <c r="G21" s="26">
        <f t="shared" si="0"/>
        <v>700</v>
      </c>
      <c r="H21" s="10"/>
    </row>
    <row r="22" spans="2:8" ht="15.75" customHeight="1" x14ac:dyDescent="0.25">
      <c r="B22" s="7"/>
      <c r="C22" s="4"/>
      <c r="D22" s="23"/>
      <c r="E22" s="27"/>
      <c r="F22" s="25"/>
      <c r="G22" s="26">
        <f t="shared" si="0"/>
        <v>700</v>
      </c>
      <c r="H22" s="10"/>
    </row>
    <row r="23" spans="2:8" ht="15.75" customHeight="1" x14ac:dyDescent="0.25">
      <c r="B23" s="7"/>
      <c r="C23" s="4"/>
      <c r="D23" s="24"/>
      <c r="E23" s="27"/>
      <c r="F23" s="25"/>
      <c r="G23" s="26">
        <f t="shared" si="0"/>
        <v>700</v>
      </c>
      <c r="H23" s="10"/>
    </row>
    <row r="24" spans="2:8" ht="15.75" customHeight="1" x14ac:dyDescent="0.25">
      <c r="B24" s="7"/>
      <c r="C24" s="4"/>
      <c r="D24" s="24"/>
      <c r="E24" s="27"/>
      <c r="F24" s="25"/>
      <c r="G24" s="26">
        <f t="shared" si="0"/>
        <v>700</v>
      </c>
      <c r="H24" s="10"/>
    </row>
    <row r="25" spans="2:8" ht="15.75" customHeight="1" x14ac:dyDescent="0.25">
      <c r="B25" s="7"/>
      <c r="C25" s="4"/>
      <c r="D25" s="24"/>
      <c r="E25" s="27"/>
      <c r="F25" s="25"/>
      <c r="G25" s="26">
        <f t="shared" si="0"/>
        <v>700</v>
      </c>
      <c r="H25" s="10"/>
    </row>
    <row r="26" spans="2:8" ht="15.75" customHeight="1" x14ac:dyDescent="0.25">
      <c r="B26" s="7"/>
      <c r="C26" s="4"/>
      <c r="D26" s="23"/>
      <c r="E26" s="27"/>
      <c r="F26" s="25"/>
      <c r="G26" s="26">
        <f t="shared" si="0"/>
        <v>700</v>
      </c>
      <c r="H26" s="10"/>
    </row>
    <row r="27" spans="2:8" ht="15.75" customHeight="1" x14ac:dyDescent="0.25">
      <c r="B27" s="7"/>
      <c r="C27" s="4"/>
      <c r="D27" s="23"/>
      <c r="E27" s="27"/>
      <c r="F27" s="25"/>
      <c r="G27" s="26">
        <f t="shared" si="0"/>
        <v>700</v>
      </c>
      <c r="H27" s="10"/>
    </row>
    <row r="28" spans="2:8" ht="15.75" customHeight="1" x14ac:dyDescent="0.25">
      <c r="B28" s="7"/>
      <c r="C28" s="4"/>
      <c r="D28" s="24"/>
      <c r="E28" s="27"/>
      <c r="F28" s="25"/>
      <c r="G28" s="26">
        <f t="shared" si="0"/>
        <v>700</v>
      </c>
      <c r="H28" s="10"/>
    </row>
    <row r="29" spans="2:8" ht="15.75" customHeight="1" x14ac:dyDescent="0.25">
      <c r="B29" s="7"/>
      <c r="C29" s="4"/>
      <c r="D29" s="24"/>
      <c r="E29" s="27"/>
      <c r="F29" s="25"/>
      <c r="G29" s="26">
        <f t="shared" si="0"/>
        <v>700</v>
      </c>
      <c r="H29" s="10"/>
    </row>
    <row r="30" spans="2:8" ht="15.75" customHeight="1" x14ac:dyDescent="0.25">
      <c r="B30" s="7"/>
      <c r="C30" s="4"/>
      <c r="D30" s="24"/>
      <c r="E30" s="27"/>
      <c r="F30" s="25"/>
      <c r="G30" s="26">
        <f t="shared" si="0"/>
        <v>700</v>
      </c>
      <c r="H30" s="10"/>
    </row>
    <row r="31" spans="2:8" ht="15.75" customHeight="1" x14ac:dyDescent="0.25">
      <c r="B31" s="7"/>
      <c r="C31" s="4"/>
      <c r="D31" s="24"/>
      <c r="E31" s="27"/>
      <c r="F31" s="25"/>
      <c r="G31" s="26">
        <f t="shared" si="0"/>
        <v>700</v>
      </c>
      <c r="H31" s="10"/>
    </row>
    <row r="32" spans="2:8" ht="15.75" customHeight="1" x14ac:dyDescent="0.25">
      <c r="B32" s="7"/>
      <c r="C32" s="4"/>
      <c r="D32" s="24"/>
      <c r="E32" s="27"/>
      <c r="F32" s="25"/>
      <c r="G32" s="26">
        <f t="shared" si="0"/>
        <v>700</v>
      </c>
      <c r="H32" s="10"/>
    </row>
    <row r="33" spans="2:8" ht="15.75" customHeight="1" x14ac:dyDescent="0.25">
      <c r="B33" s="7"/>
      <c r="C33" s="4"/>
      <c r="D33" s="24"/>
      <c r="E33" s="27"/>
      <c r="F33" s="25"/>
      <c r="G33" s="26">
        <f t="shared" si="0"/>
        <v>700</v>
      </c>
      <c r="H33" s="10"/>
    </row>
    <row r="34" spans="2:8" ht="15.75" customHeight="1" x14ac:dyDescent="0.25">
      <c r="B34" s="7"/>
      <c r="C34" s="4"/>
      <c r="D34" s="24"/>
      <c r="E34" s="27"/>
      <c r="F34" s="25"/>
      <c r="G34" s="26">
        <f t="shared" si="0"/>
        <v>700</v>
      </c>
      <c r="H34" s="10"/>
    </row>
    <row r="35" spans="2:8" ht="15.75" customHeight="1" x14ac:dyDescent="0.25">
      <c r="B35" s="7"/>
      <c r="C35" s="4"/>
      <c r="D35" s="24"/>
      <c r="E35" s="27"/>
      <c r="F35" s="25"/>
      <c r="G35" s="26">
        <f t="shared" si="0"/>
        <v>700</v>
      </c>
      <c r="H35" s="10"/>
    </row>
    <row r="36" spans="2:8" ht="15.75" customHeight="1" x14ac:dyDescent="0.25">
      <c r="B36" s="7"/>
      <c r="C36" s="4"/>
      <c r="D36" s="23"/>
      <c r="E36" s="27"/>
      <c r="F36" s="25"/>
      <c r="G36" s="26">
        <f t="shared" si="0"/>
        <v>700</v>
      </c>
      <c r="H36" s="10"/>
    </row>
    <row r="37" spans="2:8" ht="15.75" customHeight="1" x14ac:dyDescent="0.25">
      <c r="B37" s="7"/>
      <c r="C37" s="4"/>
      <c r="D37" s="24"/>
      <c r="E37" s="27"/>
      <c r="F37" s="25"/>
      <c r="G37" s="26">
        <f t="shared" si="0"/>
        <v>700</v>
      </c>
      <c r="H37" s="10"/>
    </row>
    <row r="38" spans="2:8" ht="15.75" customHeight="1" x14ac:dyDescent="0.25">
      <c r="B38" s="7"/>
      <c r="C38" s="4"/>
      <c r="D38" s="24"/>
      <c r="E38" s="27"/>
      <c r="F38" s="25"/>
      <c r="G38" s="26">
        <f t="shared" si="0"/>
        <v>700</v>
      </c>
      <c r="H38" s="10"/>
    </row>
    <row r="39" spans="2:8" ht="15.75" customHeight="1" x14ac:dyDescent="0.25">
      <c r="B39" s="7"/>
      <c r="C39" s="4"/>
      <c r="D39" s="24"/>
      <c r="E39" s="27"/>
      <c r="F39" s="25"/>
      <c r="G39" s="26">
        <f t="shared" si="0"/>
        <v>700</v>
      </c>
      <c r="H39" s="10"/>
    </row>
    <row r="40" spans="2:8" ht="15.75" customHeight="1" x14ac:dyDescent="0.25">
      <c r="B40" s="7"/>
      <c r="C40" s="4"/>
      <c r="D40" s="24"/>
      <c r="E40" s="27"/>
      <c r="F40" s="25"/>
      <c r="G40" s="26">
        <f t="shared" si="0"/>
        <v>700</v>
      </c>
      <c r="H40" s="10"/>
    </row>
    <row r="41" spans="2:8" ht="15.75" customHeight="1" x14ac:dyDescent="0.25">
      <c r="B41" s="7"/>
      <c r="C41" s="4"/>
      <c r="D41" s="24"/>
      <c r="E41" s="27"/>
      <c r="F41" s="25"/>
      <c r="G41" s="26">
        <f t="shared" si="0"/>
        <v>700</v>
      </c>
      <c r="H41" s="10"/>
    </row>
    <row r="42" spans="2:8" ht="15.75" customHeight="1" x14ac:dyDescent="0.25">
      <c r="B42" s="7"/>
      <c r="C42" s="4"/>
      <c r="D42" s="24"/>
      <c r="E42" s="27"/>
      <c r="F42" s="25"/>
      <c r="G42" s="26">
        <f t="shared" si="0"/>
        <v>700</v>
      </c>
      <c r="H42" s="10"/>
    </row>
    <row r="43" spans="2:8" ht="15.75" customHeight="1" x14ac:dyDescent="0.25">
      <c r="B43" s="7"/>
      <c r="C43" s="4"/>
      <c r="D43" s="24"/>
      <c r="E43" s="27"/>
      <c r="F43" s="25"/>
      <c r="G43" s="26">
        <f t="shared" si="0"/>
        <v>700</v>
      </c>
      <c r="H43" s="10"/>
    </row>
    <row r="44" spans="2:8" ht="15.75" customHeight="1" x14ac:dyDescent="0.25">
      <c r="B44" s="7"/>
      <c r="C44" s="4"/>
      <c r="D44" s="24"/>
      <c r="E44" s="27"/>
      <c r="F44" s="25"/>
      <c r="G44" s="26">
        <f t="shared" si="0"/>
        <v>700</v>
      </c>
      <c r="H44" s="10"/>
    </row>
    <row r="45" spans="2:8" ht="15.75" customHeight="1" x14ac:dyDescent="0.25">
      <c r="B45" s="7"/>
      <c r="C45" s="4"/>
      <c r="D45" s="24"/>
      <c r="E45" s="27"/>
      <c r="F45" s="25"/>
      <c r="G45" s="26">
        <f t="shared" si="0"/>
        <v>700</v>
      </c>
      <c r="H45" s="10"/>
    </row>
    <row r="46" spans="2:8" ht="15.75" customHeight="1" x14ac:dyDescent="0.25">
      <c r="B46" s="7"/>
      <c r="C46" s="4"/>
      <c r="D46" s="24"/>
      <c r="E46" s="27"/>
      <c r="F46" s="25"/>
      <c r="G46" s="26">
        <f t="shared" si="0"/>
        <v>700</v>
      </c>
      <c r="H46" s="10"/>
    </row>
    <row r="47" spans="2:8" ht="15.75" customHeight="1" x14ac:dyDescent="0.25">
      <c r="B47" s="7"/>
      <c r="C47" s="4"/>
      <c r="D47" s="24"/>
      <c r="E47" s="27"/>
      <c r="F47" s="25"/>
      <c r="G47" s="26">
        <f t="shared" si="0"/>
        <v>700</v>
      </c>
      <c r="H47" s="10"/>
    </row>
    <row r="48" spans="2:8" ht="15.75" customHeight="1" x14ac:dyDescent="0.25">
      <c r="B48" s="7"/>
      <c r="C48" s="4"/>
      <c r="D48" s="23"/>
      <c r="E48" s="28"/>
      <c r="F48" s="30"/>
      <c r="G48" s="26">
        <f t="shared" si="0"/>
        <v>700</v>
      </c>
      <c r="H48" s="10"/>
    </row>
    <row r="49" spans="2:8" ht="15.75" customHeight="1" x14ac:dyDescent="0.25">
      <c r="B49" s="7"/>
      <c r="C49" s="14"/>
      <c r="D49" s="14"/>
      <c r="E49" s="20"/>
      <c r="F49" s="29" t="s">
        <v>14</v>
      </c>
      <c r="G49" s="26">
        <f>SUM(E16:E48)-SUM(F16:F48)</f>
        <v>700</v>
      </c>
      <c r="H49" s="10"/>
    </row>
    <row r="50" spans="2:8" ht="22.15" customHeight="1" x14ac:dyDescent="0.25">
      <c r="B50" s="7"/>
      <c r="C50" s="15"/>
      <c r="D50" s="15"/>
      <c r="E50" s="15"/>
      <c r="F50" s="15"/>
      <c r="G50" s="15"/>
      <c r="H50" s="10"/>
    </row>
    <row r="51" spans="2:8" ht="15.75" customHeight="1" x14ac:dyDescent="0.25">
      <c r="B51" s="7"/>
      <c r="C51" s="31"/>
      <c r="D51" s="32" t="s">
        <v>34</v>
      </c>
      <c r="E51" s="31"/>
      <c r="F51" s="31"/>
      <c r="G51" s="31"/>
      <c r="H51" s="10"/>
    </row>
    <row r="52" spans="2:8" ht="9" customHeight="1" x14ac:dyDescent="0.25">
      <c r="B52" s="7"/>
      <c r="C52" s="38" t="s">
        <v>7</v>
      </c>
      <c r="D52" s="35"/>
      <c r="E52" s="35"/>
      <c r="F52" s="35"/>
      <c r="G52" s="35"/>
      <c r="H52" s="10"/>
    </row>
    <row r="53" spans="2:8" ht="15.75" customHeight="1" x14ac:dyDescent="0.25">
      <c r="B53" s="7"/>
      <c r="C53" s="39" t="s">
        <v>27</v>
      </c>
      <c r="D53" s="40"/>
      <c r="E53" s="40"/>
      <c r="F53" s="40"/>
      <c r="G53" s="40"/>
      <c r="H53" s="10"/>
    </row>
    <row r="54" spans="2:8" ht="15.75" customHeight="1" x14ac:dyDescent="0.25">
      <c r="B54" s="7"/>
      <c r="C54" s="34" t="s">
        <v>8</v>
      </c>
      <c r="D54" s="35"/>
      <c r="E54" s="35"/>
      <c r="F54" s="35"/>
      <c r="G54" s="35"/>
      <c r="H54" s="10"/>
    </row>
    <row r="55" spans="2:8" ht="15.75" customHeight="1" x14ac:dyDescent="0.25">
      <c r="B55" s="7"/>
      <c r="C55" s="33"/>
      <c r="D55" s="33"/>
      <c r="E55" s="33"/>
      <c r="F55" s="33"/>
      <c r="G55" s="33"/>
      <c r="H55" s="10"/>
    </row>
    <row r="56" spans="2:8" ht="15.6" customHeight="1" x14ac:dyDescent="0.25">
      <c r="B56" s="7"/>
      <c r="C56" s="33"/>
      <c r="D56" s="32" t="s">
        <v>28</v>
      </c>
      <c r="E56" s="33"/>
      <c r="F56" s="33"/>
      <c r="G56" s="33"/>
      <c r="H56" s="10"/>
    </row>
    <row r="57" spans="2:8" ht="7.15" customHeight="1" x14ac:dyDescent="0.25">
      <c r="B57" s="7"/>
      <c r="C57" s="38" t="s">
        <v>7</v>
      </c>
      <c r="D57" s="35"/>
      <c r="E57" s="35"/>
      <c r="F57" s="35"/>
      <c r="G57" s="35"/>
      <c r="H57" s="10"/>
    </row>
    <row r="58" spans="2:8" ht="15.75" customHeight="1" x14ac:dyDescent="0.25">
      <c r="B58" s="7"/>
      <c r="C58" s="39" t="s">
        <v>29</v>
      </c>
      <c r="D58" s="40"/>
      <c r="E58" s="40"/>
      <c r="F58" s="40"/>
      <c r="G58" s="40"/>
      <c r="H58" s="10"/>
    </row>
    <row r="59" spans="2:8" ht="15.75" customHeight="1" x14ac:dyDescent="0.25">
      <c r="B59" s="7"/>
      <c r="C59" s="34" t="s">
        <v>9</v>
      </c>
      <c r="D59" s="35"/>
      <c r="E59" s="35"/>
      <c r="F59" s="35"/>
      <c r="G59" s="35"/>
      <c r="H59" s="10"/>
    </row>
    <row r="60" spans="2:8" ht="15.75" customHeight="1" x14ac:dyDescent="0.25">
      <c r="B60" s="7"/>
      <c r="C60" s="33"/>
      <c r="D60" s="33"/>
      <c r="E60" s="33"/>
      <c r="F60" s="33"/>
      <c r="G60" s="33"/>
      <c r="H60" s="10"/>
    </row>
    <row r="61" spans="2:8" ht="15.6" customHeight="1" x14ac:dyDescent="0.25">
      <c r="B61" s="7"/>
      <c r="C61" s="33"/>
      <c r="D61" s="32" t="s">
        <v>30</v>
      </c>
      <c r="E61" s="33"/>
      <c r="F61" s="33"/>
      <c r="G61" s="33"/>
      <c r="H61" s="10"/>
    </row>
    <row r="62" spans="2:8" ht="7.15" customHeight="1" x14ac:dyDescent="0.25">
      <c r="B62" s="7"/>
      <c r="C62" s="38" t="s">
        <v>7</v>
      </c>
      <c r="D62" s="35"/>
      <c r="E62" s="35"/>
      <c r="F62" s="35"/>
      <c r="G62" s="35"/>
      <c r="H62" s="10"/>
    </row>
    <row r="63" spans="2:8" ht="15.75" customHeight="1" x14ac:dyDescent="0.25">
      <c r="B63" s="7"/>
      <c r="C63" s="39" t="s">
        <v>31</v>
      </c>
      <c r="D63" s="40"/>
      <c r="E63" s="40"/>
      <c r="F63" s="40"/>
      <c r="G63" s="40"/>
      <c r="H63" s="10"/>
    </row>
    <row r="64" spans="2:8" ht="15.75" customHeight="1" x14ac:dyDescent="0.25">
      <c r="B64" s="7"/>
      <c r="C64" s="34" t="s">
        <v>23</v>
      </c>
      <c r="D64" s="35"/>
      <c r="E64" s="35"/>
      <c r="F64" s="35"/>
      <c r="G64" s="35"/>
      <c r="H64" s="10"/>
    </row>
    <row r="65" spans="2:8" ht="15.75" customHeight="1" x14ac:dyDescent="0.25">
      <c r="B65" s="7"/>
      <c r="C65" s="33"/>
      <c r="D65" s="33"/>
      <c r="E65" s="33"/>
      <c r="F65" s="33"/>
      <c r="G65" s="33"/>
      <c r="H65" s="10"/>
    </row>
    <row r="66" spans="2:8" ht="15.75" customHeight="1" x14ac:dyDescent="0.25">
      <c r="B66" s="7"/>
      <c r="C66" s="31"/>
      <c r="D66" s="32" t="s">
        <v>32</v>
      </c>
      <c r="E66" s="31"/>
      <c r="F66" s="31"/>
      <c r="G66" s="31"/>
      <c r="H66" s="10"/>
    </row>
    <row r="67" spans="2:8" ht="7.15" customHeight="1" x14ac:dyDescent="0.25">
      <c r="B67" s="7"/>
      <c r="C67" s="38" t="s">
        <v>7</v>
      </c>
      <c r="D67" s="35"/>
      <c r="E67" s="35"/>
      <c r="F67" s="35"/>
      <c r="G67" s="35"/>
      <c r="H67" s="10"/>
    </row>
    <row r="68" spans="2:8" ht="15.75" customHeight="1" x14ac:dyDescent="0.25">
      <c r="B68" s="7"/>
      <c r="C68" s="39" t="s">
        <v>33</v>
      </c>
      <c r="D68" s="40"/>
      <c r="E68" s="40"/>
      <c r="F68" s="40"/>
      <c r="G68" s="40"/>
      <c r="H68" s="10"/>
    </row>
    <row r="69" spans="2:8" ht="15.75" customHeight="1" x14ac:dyDescent="0.25">
      <c r="B69" s="7"/>
      <c r="C69" s="34" t="s">
        <v>10</v>
      </c>
      <c r="D69" s="35"/>
      <c r="E69" s="35"/>
      <c r="F69" s="35"/>
      <c r="G69" s="35"/>
      <c r="H69" s="10"/>
    </row>
    <row r="70" spans="2:8" ht="15.75" customHeight="1" x14ac:dyDescent="0.25">
      <c r="B70" s="7"/>
      <c r="C70" s="16"/>
      <c r="D70" s="16"/>
      <c r="E70" s="16"/>
      <c r="F70" s="16"/>
      <c r="G70" s="16"/>
      <c r="H70" s="10"/>
    </row>
    <row r="71" spans="2:8" ht="15.75" customHeight="1" x14ac:dyDescent="0.25">
      <c r="B71" s="8"/>
      <c r="C71" s="17"/>
      <c r="D71" s="17"/>
      <c r="E71" s="17"/>
      <c r="F71" s="17"/>
      <c r="G71" s="17"/>
      <c r="H71" s="13"/>
    </row>
    <row r="72" spans="2:8" ht="15.75" customHeight="1" x14ac:dyDescent="0.25">
      <c r="B72" s="37"/>
      <c r="C72" s="37"/>
      <c r="D72" s="37"/>
      <c r="E72" s="37"/>
      <c r="F72" s="37"/>
      <c r="G72" s="37"/>
      <c r="H72" s="37"/>
    </row>
    <row r="73" spans="2:8" ht="8.4499999999999993" customHeight="1" x14ac:dyDescent="0.25">
      <c r="C73" s="5"/>
      <c r="D73" s="5"/>
      <c r="E73" s="5"/>
      <c r="F73" s="5"/>
      <c r="G73" s="5"/>
      <c r="H73" s="5"/>
    </row>
    <row r="74" spans="2:8" ht="28.15" hidden="1" customHeight="1" x14ac:dyDescent="0.25">
      <c r="C74" s="5"/>
      <c r="D74" s="5"/>
      <c r="E74" s="5"/>
      <c r="F74" s="5"/>
      <c r="G74" s="5"/>
      <c r="H74" s="5"/>
    </row>
    <row r="75" spans="2:8" ht="15.6" customHeight="1" x14ac:dyDescent="0.25">
      <c r="C75" s="5"/>
      <c r="D75" s="5"/>
      <c r="E75" s="5"/>
      <c r="F75" s="5"/>
      <c r="G75" s="5"/>
      <c r="H75" s="5"/>
    </row>
    <row r="76" spans="2:8" ht="15.75" customHeight="1" x14ac:dyDescent="0.25">
      <c r="C76" s="36" t="s">
        <v>16</v>
      </c>
      <c r="D76" s="36"/>
      <c r="E76" s="36"/>
      <c r="F76" s="36"/>
      <c r="H76" s="5"/>
    </row>
    <row r="77" spans="2:8" ht="15.75" customHeight="1" x14ac:dyDescent="0.25">
      <c r="C77" s="36"/>
      <c r="D77" s="36"/>
      <c r="E77" s="36"/>
      <c r="F77" s="36"/>
      <c r="H77" s="5"/>
    </row>
    <row r="78" spans="2:8" ht="15.75" customHeight="1" x14ac:dyDescent="0.25">
      <c r="C78" s="36"/>
      <c r="D78" s="36"/>
      <c r="E78" s="36"/>
      <c r="F78" s="36"/>
      <c r="H78" s="5"/>
    </row>
    <row r="79" spans="2:8" ht="17.45" customHeight="1" x14ac:dyDescent="0.25">
      <c r="C79" s="36"/>
      <c r="D79" s="36"/>
      <c r="E79" s="36"/>
      <c r="F79" s="36"/>
      <c r="H79" s="5"/>
    </row>
    <row r="80" spans="2:8" ht="4.1500000000000004" customHeight="1" x14ac:dyDescent="0.25">
      <c r="C80" s="36"/>
      <c r="D80" s="36"/>
      <c r="E80" s="36"/>
      <c r="F80" s="36"/>
      <c r="H80" s="5"/>
    </row>
    <row r="81" spans="3:8" ht="8.4499999999999993" hidden="1" customHeight="1" x14ac:dyDescent="0.25">
      <c r="C81" s="36"/>
      <c r="D81" s="36"/>
      <c r="E81" s="36"/>
      <c r="F81" s="36"/>
      <c r="H81" s="5"/>
    </row>
    <row r="82" spans="3:8" ht="10.9" customHeight="1" x14ac:dyDescent="0.25">
      <c r="C82" s="36"/>
      <c r="D82" s="36"/>
      <c r="E82" s="36"/>
      <c r="F82" s="36"/>
      <c r="H82" s="5"/>
    </row>
    <row r="83" spans="3:8" ht="15.75" customHeight="1" x14ac:dyDescent="0.25"/>
    <row r="84" spans="3:8" ht="15.75" customHeight="1" x14ac:dyDescent="0.25"/>
    <row r="85" spans="3:8" ht="15.75" customHeight="1" x14ac:dyDescent="0.25"/>
    <row r="86" spans="3:8" ht="15.75" customHeight="1" x14ac:dyDescent="0.25"/>
    <row r="87" spans="3:8" ht="15.75" customHeight="1" x14ac:dyDescent="0.25"/>
    <row r="88" spans="3:8" ht="15.75" customHeight="1" x14ac:dyDescent="0.25"/>
    <row r="89" spans="3:8" ht="15.75" customHeight="1" x14ac:dyDescent="0.25"/>
    <row r="90" spans="3:8" ht="15.75" customHeight="1" x14ac:dyDescent="0.25"/>
    <row r="91" spans="3:8" ht="15.75" customHeight="1" x14ac:dyDescent="0.25"/>
    <row r="92" spans="3:8" ht="15.75" customHeight="1" x14ac:dyDescent="0.25"/>
    <row r="93" spans="3:8" ht="15.75" customHeight="1" x14ac:dyDescent="0.25"/>
    <row r="94" spans="3:8" ht="15.75" customHeight="1" x14ac:dyDescent="0.25"/>
    <row r="95" spans="3:8" ht="15.75" customHeight="1" x14ac:dyDescent="0.25"/>
    <row r="96" spans="3:8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29">
    <mergeCell ref="C54:G54"/>
    <mergeCell ref="C57:G57"/>
    <mergeCell ref="C58:G58"/>
    <mergeCell ref="C3:G3"/>
    <mergeCell ref="C4:G4"/>
    <mergeCell ref="C6:D6"/>
    <mergeCell ref="E6:G6"/>
    <mergeCell ref="C7:D7"/>
    <mergeCell ref="E7:F7"/>
    <mergeCell ref="C11:D11"/>
    <mergeCell ref="E11:G11"/>
    <mergeCell ref="D13:F13"/>
    <mergeCell ref="C52:G52"/>
    <mergeCell ref="C53:G53"/>
    <mergeCell ref="E8:F8"/>
    <mergeCell ref="C8:D8"/>
    <mergeCell ref="C9:D9"/>
    <mergeCell ref="E9:F9"/>
    <mergeCell ref="C10:D10"/>
    <mergeCell ref="E10:F10"/>
    <mergeCell ref="C59:G59"/>
    <mergeCell ref="C76:F82"/>
    <mergeCell ref="B72:H72"/>
    <mergeCell ref="C64:G64"/>
    <mergeCell ref="C67:G67"/>
    <mergeCell ref="C68:G68"/>
    <mergeCell ref="C69:G69"/>
    <mergeCell ref="C62:G62"/>
    <mergeCell ref="C63:G63"/>
  </mergeCells>
  <pageMargins left="0.511811024" right="0.511811024" top="0.78740157499999996" bottom="0.78740157499999996" header="0" footer="0"/>
  <pageSetup paperSize="9"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Tesouraria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</dc:creator>
  <cp:lastModifiedBy>Gabriel Carrara</cp:lastModifiedBy>
  <cp:lastPrinted>2024-08-02T00:52:29Z</cp:lastPrinted>
  <dcterms:created xsi:type="dcterms:W3CDTF">2022-06-17T15:45:19Z</dcterms:created>
  <dcterms:modified xsi:type="dcterms:W3CDTF">2026-02-13T15:58:57Z</dcterms:modified>
</cp:coreProperties>
</file>